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<sst xmlns="http://schemas.openxmlformats.org/spreadsheetml/2006/main" count="305" uniqueCount="119">
  <si>
    <t xml:space="preserve">SUNSET: budget to build the nine panels</t>
  </si>
  <si>
    <t xml:space="preserve">Draft, 25 Oct 2026. Hardware and first-year running costs; PVA's own labour, travel and permit fees are not included.</t>
  </si>
  <si>
    <t xml:space="preserve">Node</t>
  </si>
  <si>
    <t xml:space="preserve">Cost (€)</t>
  </si>
  <si>
    <t xml:space="preserve">Share</t>
  </si>
  <si>
    <t xml:space="preserve">Walls 1–4</t>
  </si>
  <si>
    <t xml:space="preserve">Battery tier (5 interactive nodes)</t>
  </si>
  <si>
    <t xml:space="preserve">Street auction</t>
  </si>
  <si>
    <t xml:space="preserve">Arm game</t>
  </si>
  <si>
    <t xml:space="preserve">Gettoneria</t>
  </si>
  <si>
    <t xml:space="preserve">Flip-dot wall</t>
  </si>
  <si>
    <t xml:space="preserve">The SUNSET set</t>
  </si>
  <si>
    <t xml:space="preserve">Shared</t>
  </si>
  <si>
    <t xml:space="preserve">Build subtotal</t>
  </si>
  <si>
    <t xml:space="preserve">Contingency</t>
  </si>
  <si>
    <t xml:space="preserve">Build total</t>
  </si>
  <si>
    <t xml:space="preserve">Running, first year</t>
  </si>
  <si>
    <t xml:space="preserve">Total, build and first year</t>
  </si>
  <si>
    <t xml:space="preserve">Contingency rate</t>
  </si>
  <si>
    <t xml:space="preserve">Option, not in the total:</t>
  </si>
  <si>
    <t xml:space="preserve">Garden node (replaces one wall)</t>
  </si>
  <si>
    <t xml:space="preserve">How to use it</t>
  </si>
  <si>
    <t xml:space="preserve">Edit only the blue cells: quantities, unit prices and Include (Yes/No) on the Lines sheet, and the contingency rate above (yellow).</t>
  </si>
  <si>
    <t xml:space="preserve">Basis on each line: Quote (from the supplier), Listed price (seen online, Oct 2026), Estimate (to be confirmed).</t>
  </si>
  <si>
    <t xml:space="preserve">Prices include VAT where they are retail prices; Alfa-Zeta invoices B2B to an Italian VAT number (reverse charge).</t>
  </si>
  <si>
    <t xml:space="preserve">To include the garden node, set its lines' Include to Yes on the Lines sheet.</t>
  </si>
  <si>
    <t xml:space="preserve">Not included: PVA's labour, travel, permit and authorisation fees, and the token artwork.</t>
  </si>
  <si>
    <t xml:space="preserve">Item</t>
  </si>
  <si>
    <t xml:space="preserve">Qty</t>
  </si>
  <si>
    <t xml:space="preserve">Unit (€)</t>
  </si>
  <si>
    <t xml:space="preserve">Total (€)</t>
  </si>
  <si>
    <t xml:space="preserve">Basis</t>
  </si>
  <si>
    <t xml:space="preserve">Source / note</t>
  </si>
  <si>
    <t xml:space="preserve">Include</t>
  </si>
  <si>
    <t xml:space="preserve">Retired PV panel, 185 W class</t>
  </si>
  <si>
    <t xml:space="preserve">Estimate</t>
  </si>
  <si>
    <t xml:space="preserve">Second-hand / end-of-life panel; may be donated</t>
  </si>
  <si>
    <t xml:space="preserve">Yes</t>
  </si>
  <si>
    <t xml:space="preserve">PVA carrier board v1, assembled, with ELEGOO ESP32, DS3231, probe</t>
  </si>
  <si>
    <t xml:space="preserve">Small-run assembly with SUNDIAL's order; confirm with the PCB maker's quote</t>
  </si>
  <si>
    <t xml:space="preserve">IP65 box, glands, breather vent</t>
  </si>
  <si>
    <t xml:space="preserve">As SUNDIAL (CARRIER.md: about 150 x 110 x 70 mm)</t>
  </si>
  <si>
    <t xml:space="preserve">Fixings, stand-offs, cable, fuse</t>
  </si>
  <si>
    <t xml:space="preserve">Wall plate: number, 5 x 5 logo, Wi-Fi QR</t>
  </si>
  <si>
    <t xml:space="preserve">PVA carrier board v1, assembled</t>
  </si>
  <si>
    <t xml:space="preserve">Victron SmartSolar MPPT 75/15</t>
  </si>
  <si>
    <t xml:space="preserve">Listed price</t>
  </si>
  <si>
    <t xml:space="preserve">BigBuy, about €102 each for 6+ (Oct 2026)</t>
  </si>
  <si>
    <t xml:space="preserve">12 V LiFePO4 battery, 50 Ah</t>
  </si>
  <si>
    <t xml:space="preserve">Premium brand listed at €286 (Patona, Oct 2026); budget brands lower. Size per node in the pilot</t>
  </si>
  <si>
    <t xml:space="preserve">Equipment cabinet, IP65, for battery, MPPT and board</t>
  </si>
  <si>
    <t xml:space="preserve">Fuses, holders, cables, VE.Direct cable</t>
  </si>
  <si>
    <t xml:space="preserve">Mounting and fixings</t>
  </si>
  <si>
    <t xml:space="preserve">Wall plate</t>
  </si>
  <si>
    <t xml:space="preserve">Three lit lockers: frame and perspex doors, fabricated</t>
  </si>
  <si>
    <t xml:space="preserve">Biggest unknown in this node: get a local fabricator's quote</t>
  </si>
  <si>
    <t xml:space="preserve">Fail-secure solenoid locks</t>
  </si>
  <si>
    <t xml:space="preserve">Door switches</t>
  </si>
  <si>
    <t xml:space="preserve">LED strips and controller</t>
  </si>
  <si>
    <t xml:space="preserve">Off-board driver (MOSFETs, relays)</t>
  </si>
  <si>
    <t xml:space="preserve">Waveshare RoArm-M2-S</t>
  </si>
  <si>
    <t xml:space="preserve">About $205–225 (Amazon, AliExpress); RobotShop EU and Grobotronics stock it</t>
  </si>
  <si>
    <t xml:space="preserve">12 V 5 A regulated DC-DC for the arm</t>
  </si>
  <si>
    <t xml:space="preserve">Arm takes 7–13 V; battery reaches 14.6 V</t>
  </si>
  <si>
    <t xml:space="preserve">Perspex enclosure</t>
  </si>
  <si>
    <t xml:space="preserve">Peg board, ramp, hopper, pegs</t>
  </si>
  <si>
    <t xml:space="preserve">Hole sensors (IR break-beam)</t>
  </si>
  <si>
    <t xml:space="preserve">Arm power switch (MOSFET or relay)</t>
  </si>
  <si>
    <t xml:space="preserve">Coin hopper, Slomatic X3 EXP, 12 V, ccTalk</t>
  </si>
  <si>
    <t xml:space="preserve">No public price; a comparable ccTalk hopper is listed at $155. Ask Slomatic for a quote</t>
  </si>
  <si>
    <t xml:space="preserve">Programmable coin acceptor</t>
  </si>
  <si>
    <t xml:space="preserve">CH-926 class listed at €31.40 (ArcadeXpress); a better acceptor for plastic tokens could be €100–200</t>
  </si>
  <si>
    <t xml:space="preserve">NFC readers, PN532 class (exit, redeem, status pad)</t>
  </si>
  <si>
    <t xml:space="preserve">I2C multiplexer, ccTalk interface, status light</t>
  </si>
  <si>
    <t xml:space="preserve">Two-way flap solenoid and driver</t>
  </si>
  <si>
    <t xml:space="preserve">Steel housing with slot, cups, reject box, reserve tube</t>
  </si>
  <si>
    <t xml:space="preserve">Local fabrication</t>
  </si>
  <si>
    <t xml:space="preserve">Tokens: printed coin, NTAG213 tag, printed number, assembled</t>
  </si>
  <si>
    <t xml:space="preserve">€0.50–1.50 each (interactive-token.md 2.7); 500 core + 500 buffer</t>
  </si>
  <si>
    <t xml:space="preserve">USB NFC writer for batches (bench)</t>
  </si>
  <si>
    <t xml:space="preserve">Alfa-Zeta XY5 14 x 28 panel, yellow on black, controller included</t>
  </si>
  <si>
    <t xml:space="preserve">Quote</t>
  </si>
  <si>
    <t xml:space="preserve">Alfa-Zeta quote, 23 Oct 2026</t>
  </si>
  <si>
    <t xml:space="preserve">Alfa-Zeta shipping to Italy</t>
  </si>
  <si>
    <t xml:space="preserve">12 V to 24 V converter, fixed output, about 2 A</t>
  </si>
  <si>
    <t xml:space="preserve">Mean Well SD-50A-24 class</t>
  </si>
  <si>
    <t xml:space="preserve">RS-485 transceiver</t>
  </si>
  <si>
    <t xml:space="preserve">As the gettoneria's</t>
  </si>
  <si>
    <t xml:space="preserve">NFC reader and I2C port expander</t>
  </si>
  <si>
    <t xml:space="preserve">Vandal-resistant rotary encoders and knobs</t>
  </si>
  <si>
    <t xml:space="preserve">Vandal-resistant push button</t>
  </si>
  <si>
    <t xml:space="preserve">Steel housing with glass window, about 480 x 470 x 100 mm inside</t>
  </si>
  <si>
    <t xml:space="preserve">Alfa-Zeta recommend steel and glass; local fabrication</t>
  </si>
  <si>
    <t xml:space="preserve">Token column (perspex tube) and kept-token box</t>
  </si>
  <si>
    <t xml:space="preserve">Spare dots</t>
  </si>
  <si>
    <t xml:space="preserve">Alfa-Zeta, €0.50 a dot, 25 Oct 2026</t>
  </si>
  <si>
    <t xml:space="preserve">Outdoor Bluetooth speaker</t>
  </si>
  <si>
    <t xml:space="preserve">Speaker locker: perspex door, lock, door switch</t>
  </si>
  <si>
    <t xml:space="preserve">Speaker charger (12 V to USB/DC)</t>
  </si>
  <si>
    <t xml:space="preserve">Spare carrier board, assembled and keyed</t>
  </si>
  <si>
    <t xml:space="preserve">Spare 7 x 28 flip-dot module (bench piece now, spare later)</t>
  </si>
  <si>
    <t xml:space="preserve">Bench and development kit: ESP32s, readers, acceptor, sample tokens</t>
  </si>
  <si>
    <t xml:space="preserve">Shipping and import, all other orders</t>
  </si>
  <si>
    <t xml:space="preserve">Tools and consumables</t>
  </si>
  <si>
    <t xml:space="preserve">Garden node (option)</t>
  </si>
  <si>
    <t xml:space="preserve">Steel post and base frame</t>
  </si>
  <si>
    <t xml:space="preserve">Replaces one wall's fixings; panel and board already counted in Walls</t>
  </si>
  <si>
    <t xml:space="preserve">No</t>
  </si>
  <si>
    <t xml:space="preserve">Structural engineer's sign-off</t>
  </si>
  <si>
    <t xml:space="preserve">IBC tank, food-grade, opaque</t>
  </si>
  <si>
    <t xml:space="preserve">Wood cladding</t>
  </si>
  <si>
    <t xml:space="preserve">Pump, 12 V converter, soil probe, float switches, MOSFET</t>
  </si>
  <si>
    <t xml:space="preserve">Drip kit and planting</t>
  </si>
  <si>
    <t xml:space="preserve">Public liability insurance</t>
  </si>
  <si>
    <t xml:space="preserve">Get a quote; may be shared with SUNDIAL's policy</t>
  </si>
  <si>
    <t xml:space="preserve">Token top-up: souvenirs and losses</t>
  </si>
  <si>
    <t xml:space="preserve">Flip-dot upkeep: spare dots, compressed air</t>
  </si>
  <si>
    <t xml:space="preserve">Website hosting (GitHub Pages)</t>
  </si>
  <si>
    <t xml:space="preserve">Free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</si>
</sst>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€#,##0;&quot;(€&quot;#,##0\);\-"/>
    <numFmt numFmtId="166" formatCode="0.0%"/>
    <numFmt numFmtId="167" formatCode="0%"/>
    <numFmt numFmtId="168" formatCode="\€#,##0.00;&quot;(€&quot;#,##0.0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A3A3A"/>
        <bgColor rgb="FF3333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SUMIFS(Lines!$E$2:$E$63,Lines!$A$2:$A$63,A5,Lines!$H$2:$H$63,"Yes")</f>
        <v>760</v>
      </c>
      <c r="C5" s="5" t="n">
        <f aca="false">IFERROR(B5/$B$13,0)</f>
        <v>0.0713280150164242</v>
      </c>
    </row>
    <row r="6" customFormat="false" ht="15" hidden="false" customHeight="false" outlineLevel="0" collapsed="false">
      <c r="A6" s="2" t="s">
        <v>6</v>
      </c>
      <c r="B6" s="4" t="n">
        <f aca="false">SUMIFS(Lines!$E$2:$E$63,Lines!$A$2:$A$63,A6,Lines!$H$2:$H$63,"Yes")</f>
        <v>3360</v>
      </c>
      <c r="C6" s="5" t="n">
        <f aca="false">IFERROR(B6/$B$13,0)</f>
        <v>0.315344908493665</v>
      </c>
    </row>
    <row r="7" customFormat="false" ht="15" hidden="false" customHeight="false" outlineLevel="0" collapsed="false">
      <c r="A7" s="2" t="s">
        <v>7</v>
      </c>
      <c r="B7" s="4" t="n">
        <f aca="false">SUMIFS(Lines!$E$2:$E$63,Lines!$A$2:$A$63,A7,Lines!$H$2:$H$63,"Yes")</f>
        <v>1100</v>
      </c>
      <c r="C7" s="5" t="n">
        <f aca="false">IFERROR(B7/$B$13,0)</f>
        <v>0.10323791647114</v>
      </c>
    </row>
    <row r="8" customFormat="false" ht="15" hidden="false" customHeight="false" outlineLevel="0" collapsed="false">
      <c r="A8" s="2" t="s">
        <v>8</v>
      </c>
      <c r="B8" s="4" t="n">
        <f aca="false">SUMIFS(Lines!$E$2:$E$63,Lines!$A$2:$A$63,A8,Lines!$H$2:$H$63,"Yes")</f>
        <v>710</v>
      </c>
      <c r="C8" s="5" t="n">
        <f aca="false">IFERROR(B8/$B$13,0)</f>
        <v>0.0666353824495542</v>
      </c>
    </row>
    <row r="9" customFormat="false" ht="15" hidden="false" customHeight="false" outlineLevel="0" collapsed="false">
      <c r="A9" s="2" t="s">
        <v>9</v>
      </c>
      <c r="B9" s="4" t="n">
        <f aca="false">SUMIFS(Lines!$E$2:$E$63,Lines!$A$2:$A$63,A9,Lines!$H$2:$H$63,"Yes")</f>
        <v>1820</v>
      </c>
      <c r="C9" s="5" t="n">
        <f aca="false">IFERROR(B9/$B$13,0)</f>
        <v>0.170811825434069</v>
      </c>
    </row>
    <row r="10" customFormat="false" ht="15" hidden="false" customHeight="false" outlineLevel="0" collapsed="false">
      <c r="A10" s="2" t="s">
        <v>10</v>
      </c>
      <c r="B10" s="4" t="n">
        <f aca="false">SUMIFS(Lines!$E$2:$E$63,Lines!$A$2:$A$63,A10,Lines!$H$2:$H$63,"Yes")</f>
        <v>1715</v>
      </c>
      <c r="C10" s="5" t="n">
        <f aca="false">IFERROR(B10/$B$13,0)</f>
        <v>0.160957297043641</v>
      </c>
    </row>
    <row r="11" customFormat="false" ht="15" hidden="false" customHeight="false" outlineLevel="0" collapsed="false">
      <c r="A11" s="2" t="s">
        <v>11</v>
      </c>
      <c r="B11" s="4" t="n">
        <f aca="false">SUMIFS(Lines!$E$2:$E$63,Lines!$A$2:$A$63,A11,Lines!$H$2:$H$63,"Yes")</f>
        <v>450</v>
      </c>
      <c r="C11" s="5" t="n">
        <f aca="false">IFERROR(B11/$B$13,0)</f>
        <v>0.0422336931018301</v>
      </c>
    </row>
    <row r="12" customFormat="false" ht="15" hidden="false" customHeight="false" outlineLevel="0" collapsed="false">
      <c r="A12" s="2" t="s">
        <v>12</v>
      </c>
      <c r="B12" s="4" t="n">
        <f aca="false">SUMIFS(Lines!$E$2:$E$63,Lines!$A$2:$A$63,A12,Lines!$H$2:$H$63,"Yes")</f>
        <v>740</v>
      </c>
      <c r="C12" s="5" t="n">
        <f aca="false">IFERROR(B12/$B$13,0)</f>
        <v>0.0694509619896762</v>
      </c>
    </row>
    <row r="13" customFormat="false" ht="15" hidden="false" customHeight="false" outlineLevel="0" collapsed="false">
      <c r="A13" s="6" t="s">
        <v>13</v>
      </c>
      <c r="B13" s="7" t="n">
        <f aca="false">SUM(B5:B12)</f>
        <v>10655</v>
      </c>
      <c r="C13" s="8"/>
    </row>
    <row r="14" customFormat="false" ht="15" hidden="false" customHeight="false" outlineLevel="0" collapsed="false">
      <c r="A14" s="2" t="s">
        <v>14</v>
      </c>
      <c r="B14" s="4" t="n">
        <f aca="false">B13*B19</f>
        <v>1598.25</v>
      </c>
    </row>
    <row r="15" customFormat="false" ht="15" hidden="false" customHeight="false" outlineLevel="0" collapsed="false">
      <c r="A15" s="6" t="s">
        <v>15</v>
      </c>
      <c r="B15" s="7" t="n">
        <f aca="false">B13+B14</f>
        <v>12253.25</v>
      </c>
      <c r="C15" s="8"/>
    </row>
    <row r="16" customFormat="false" ht="15" hidden="false" customHeight="false" outlineLevel="0" collapsed="false">
      <c r="A16" s="2" t="s">
        <v>16</v>
      </c>
      <c r="B16" s="4" t="n">
        <f aca="false">SUMIFS(Lines!$E$2:$E$63,Lines!$A$2:$A$63,"Running, first year",Lines!$H$2:$H$63,"Yes")</f>
        <v>550</v>
      </c>
    </row>
    <row r="17" customFormat="false" ht="15" hidden="false" customHeight="false" outlineLevel="0" collapsed="false">
      <c r="A17" s="9" t="s">
        <v>17</v>
      </c>
      <c r="B17" s="10" t="n">
        <f aca="false">B15+B16</f>
        <v>12803.25</v>
      </c>
      <c r="C17" s="8"/>
    </row>
    <row r="19" customFormat="false" ht="15" hidden="false" customHeight="false" outlineLevel="0" collapsed="false">
      <c r="A19" s="2" t="s">
        <v>18</v>
      </c>
      <c r="B19" s="11" t="n">
        <v>0.15</v>
      </c>
    </row>
    <row r="21" customFormat="false" ht="15" hidden="false" customHeight="false" outlineLevel="0" collapsed="false">
      <c r="A21" s="12" t="s">
        <v>19</v>
      </c>
    </row>
    <row r="22" customFormat="false" ht="15" hidden="false" customHeight="false" outlineLevel="0" collapsed="false">
      <c r="A22" s="2" t="s">
        <v>20</v>
      </c>
      <c r="B22" s="4" t="n">
        <f aca="false">SUMIFS(Lines!$E$2:$E$63,Lines!$A$2:$A$63,"Garden node (option)")</f>
        <v>1365</v>
      </c>
    </row>
    <row r="24" customFormat="false" ht="15" hidden="false" customHeight="false" outlineLevel="0" collapsed="false">
      <c r="A24" s="12" t="s">
        <v>21</v>
      </c>
    </row>
    <row r="25" customFormat="false" ht="15" hidden="false" customHeight="false" outlineLevel="0" collapsed="false">
      <c r="A25" s="2" t="s">
        <v>22</v>
      </c>
    </row>
    <row r="26" customFormat="false" ht="15" hidden="false" customHeight="false" outlineLevel="0" collapsed="false">
      <c r="A26" s="2" t="s">
        <v>23</v>
      </c>
    </row>
    <row r="27" customFormat="false" ht="15" hidden="false" customHeight="false" outlineLevel="0" collapsed="false">
      <c r="A27" s="2" t="s">
        <v>24</v>
      </c>
    </row>
    <row r="28" customFormat="false" ht="15" hidden="false" customHeight="false" outlineLevel="0" collapsed="false">
      <c r="A28" s="2" t="s">
        <v>25</v>
      </c>
    </row>
    <row r="29" customFormat="false" ht="15" hidden="false" customHeight="false" outlineLevel="0" collapsed="false">
      <c r="A29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70"/>
    <col collapsed="false" customWidth="true" hidden="false" outlineLevel="0" max="8" min="8" style="0" width="9"/>
  </cols>
  <sheetData>
    <row r="1" customFormat="false" ht="15" hidden="false" customHeight="false" outlineLevel="0" collapsed="false">
      <c r="A1" s="3" t="s">
        <v>2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</row>
    <row r="2" customFormat="false" ht="15" hidden="false" customHeight="false" outlineLevel="0" collapsed="false">
      <c r="A2" s="2" t="s">
        <v>5</v>
      </c>
      <c r="B2" s="2" t="s">
        <v>34</v>
      </c>
      <c r="C2" s="13" t="n">
        <v>4</v>
      </c>
      <c r="D2" s="14" t="n">
        <v>30</v>
      </c>
      <c r="E2" s="4" t="n">
        <f aca="false">C2*D2</f>
        <v>120</v>
      </c>
      <c r="F2" s="2" t="s">
        <v>35</v>
      </c>
      <c r="G2" s="2" t="s">
        <v>36</v>
      </c>
      <c r="H2" s="13" t="s">
        <v>37</v>
      </c>
    </row>
    <row r="3" customFormat="false" ht="15" hidden="false" customHeight="false" outlineLevel="0" collapsed="false">
      <c r="A3" s="2" t="s">
        <v>5</v>
      </c>
      <c r="B3" s="2" t="s">
        <v>38</v>
      </c>
      <c r="C3" s="13" t="n">
        <v>4</v>
      </c>
      <c r="D3" s="14" t="n">
        <v>70</v>
      </c>
      <c r="E3" s="4" t="n">
        <f aca="false">C3*D3</f>
        <v>280</v>
      </c>
      <c r="F3" s="2" t="s">
        <v>35</v>
      </c>
      <c r="G3" s="2" t="s">
        <v>39</v>
      </c>
      <c r="H3" s="13" t="s">
        <v>37</v>
      </c>
    </row>
    <row r="4" customFormat="false" ht="15" hidden="false" customHeight="false" outlineLevel="0" collapsed="false">
      <c r="A4" s="2" t="s">
        <v>5</v>
      </c>
      <c r="B4" s="2" t="s">
        <v>40</v>
      </c>
      <c r="C4" s="13" t="n">
        <v>4</v>
      </c>
      <c r="D4" s="14" t="n">
        <v>30</v>
      </c>
      <c r="E4" s="4" t="n">
        <f aca="false">C4*D4</f>
        <v>120</v>
      </c>
      <c r="F4" s="2" t="s">
        <v>35</v>
      </c>
      <c r="G4" s="2" t="s">
        <v>41</v>
      </c>
      <c r="H4" s="13" t="s">
        <v>37</v>
      </c>
    </row>
    <row r="5" customFormat="false" ht="15" hidden="false" customHeight="false" outlineLevel="0" collapsed="false">
      <c r="A5" s="2" t="s">
        <v>5</v>
      </c>
      <c r="B5" s="2" t="s">
        <v>42</v>
      </c>
      <c r="C5" s="13" t="n">
        <v>4</v>
      </c>
      <c r="D5" s="14" t="n">
        <v>40</v>
      </c>
      <c r="E5" s="4" t="n">
        <f aca="false">C5*D5</f>
        <v>160</v>
      </c>
      <c r="F5" s="2" t="s">
        <v>35</v>
      </c>
      <c r="G5" s="2"/>
      <c r="H5" s="13" t="s">
        <v>37</v>
      </c>
    </row>
    <row r="6" customFormat="false" ht="15" hidden="false" customHeight="false" outlineLevel="0" collapsed="false">
      <c r="A6" s="2" t="s">
        <v>5</v>
      </c>
      <c r="B6" s="2" t="s">
        <v>43</v>
      </c>
      <c r="C6" s="13" t="n">
        <v>4</v>
      </c>
      <c r="D6" s="14" t="n">
        <v>20</v>
      </c>
      <c r="E6" s="4" t="n">
        <f aca="false">C6*D6</f>
        <v>80</v>
      </c>
      <c r="F6" s="2" t="s">
        <v>35</v>
      </c>
      <c r="G6" s="2"/>
      <c r="H6" s="13" t="s">
        <v>37</v>
      </c>
    </row>
    <row r="7" customFormat="false" ht="15" hidden="false" customHeight="false" outlineLevel="0" collapsed="false">
      <c r="A7" s="2" t="s">
        <v>6</v>
      </c>
      <c r="B7" s="2" t="s">
        <v>34</v>
      </c>
      <c r="C7" s="13" t="n">
        <v>5</v>
      </c>
      <c r="D7" s="14" t="n">
        <v>30</v>
      </c>
      <c r="E7" s="4" t="n">
        <f aca="false">C7*D7</f>
        <v>150</v>
      </c>
      <c r="F7" s="2" t="s">
        <v>35</v>
      </c>
      <c r="G7" s="2"/>
      <c r="H7" s="13" t="s">
        <v>37</v>
      </c>
    </row>
    <row r="8" customFormat="false" ht="15" hidden="false" customHeight="false" outlineLevel="0" collapsed="false">
      <c r="A8" s="2" t="s">
        <v>6</v>
      </c>
      <c r="B8" s="2" t="s">
        <v>44</v>
      </c>
      <c r="C8" s="13" t="n">
        <v>5</v>
      </c>
      <c r="D8" s="14" t="n">
        <v>70</v>
      </c>
      <c r="E8" s="4" t="n">
        <f aca="false">C8*D8</f>
        <v>350</v>
      </c>
      <c r="F8" s="2" t="s">
        <v>35</v>
      </c>
      <c r="G8" s="2"/>
      <c r="H8" s="13" t="s">
        <v>37</v>
      </c>
    </row>
    <row r="9" customFormat="false" ht="15" hidden="false" customHeight="false" outlineLevel="0" collapsed="false">
      <c r="A9" s="2" t="s">
        <v>6</v>
      </c>
      <c r="B9" s="2" t="s">
        <v>45</v>
      </c>
      <c r="C9" s="13" t="n">
        <v>5</v>
      </c>
      <c r="D9" s="14" t="n">
        <v>102</v>
      </c>
      <c r="E9" s="4" t="n">
        <f aca="false">C9*D9</f>
        <v>510</v>
      </c>
      <c r="F9" s="2" t="s">
        <v>46</v>
      </c>
      <c r="G9" s="2" t="s">
        <v>47</v>
      </c>
      <c r="H9" s="13" t="s">
        <v>37</v>
      </c>
    </row>
    <row r="10" customFormat="false" ht="15" hidden="false" customHeight="false" outlineLevel="0" collapsed="false">
      <c r="A10" s="2" t="s">
        <v>6</v>
      </c>
      <c r="B10" s="2" t="s">
        <v>48</v>
      </c>
      <c r="C10" s="13" t="n">
        <v>5</v>
      </c>
      <c r="D10" s="14" t="n">
        <v>200</v>
      </c>
      <c r="E10" s="4" t="n">
        <f aca="false">C10*D10</f>
        <v>1000</v>
      </c>
      <c r="F10" s="2" t="s">
        <v>35</v>
      </c>
      <c r="G10" s="2" t="s">
        <v>49</v>
      </c>
      <c r="H10" s="13" t="s">
        <v>37</v>
      </c>
    </row>
    <row r="11" customFormat="false" ht="15" hidden="false" customHeight="false" outlineLevel="0" collapsed="false">
      <c r="A11" s="2" t="s">
        <v>6</v>
      </c>
      <c r="B11" s="2" t="s">
        <v>50</v>
      </c>
      <c r="C11" s="13" t="n">
        <v>5</v>
      </c>
      <c r="D11" s="14" t="n">
        <v>150</v>
      </c>
      <c r="E11" s="4" t="n">
        <f aca="false">C11*D11</f>
        <v>750</v>
      </c>
      <c r="F11" s="2" t="s">
        <v>35</v>
      </c>
      <c r="G11" s="2"/>
      <c r="H11" s="13" t="s">
        <v>37</v>
      </c>
    </row>
    <row r="12" customFormat="false" ht="15" hidden="false" customHeight="false" outlineLevel="0" collapsed="false">
      <c r="A12" s="2" t="s">
        <v>6</v>
      </c>
      <c r="B12" s="2" t="s">
        <v>51</v>
      </c>
      <c r="C12" s="13" t="n">
        <v>5</v>
      </c>
      <c r="D12" s="14" t="n">
        <v>50</v>
      </c>
      <c r="E12" s="4" t="n">
        <f aca="false">C12*D12</f>
        <v>250</v>
      </c>
      <c r="F12" s="2" t="s">
        <v>35</v>
      </c>
      <c r="G12" s="2"/>
      <c r="H12" s="13" t="s">
        <v>37</v>
      </c>
    </row>
    <row r="13" customFormat="false" ht="15" hidden="false" customHeight="false" outlineLevel="0" collapsed="false">
      <c r="A13" s="2" t="s">
        <v>6</v>
      </c>
      <c r="B13" s="2" t="s">
        <v>52</v>
      </c>
      <c r="C13" s="13" t="n">
        <v>5</v>
      </c>
      <c r="D13" s="14" t="n">
        <v>50</v>
      </c>
      <c r="E13" s="4" t="n">
        <f aca="false">C13*D13</f>
        <v>250</v>
      </c>
      <c r="F13" s="2" t="s">
        <v>35</v>
      </c>
      <c r="G13" s="2"/>
      <c r="H13" s="13" t="s">
        <v>37</v>
      </c>
    </row>
    <row r="14" customFormat="false" ht="15" hidden="false" customHeight="false" outlineLevel="0" collapsed="false">
      <c r="A14" s="2" t="s">
        <v>6</v>
      </c>
      <c r="B14" s="2" t="s">
        <v>53</v>
      </c>
      <c r="C14" s="13" t="n">
        <v>5</v>
      </c>
      <c r="D14" s="14" t="n">
        <v>20</v>
      </c>
      <c r="E14" s="4" t="n">
        <f aca="false">C14*D14</f>
        <v>100</v>
      </c>
      <c r="F14" s="2" t="s">
        <v>35</v>
      </c>
      <c r="G14" s="2"/>
      <c r="H14" s="13" t="s">
        <v>37</v>
      </c>
    </row>
    <row r="15" customFormat="false" ht="15" hidden="false" customHeight="false" outlineLevel="0" collapsed="false">
      <c r="A15" s="2" t="s">
        <v>7</v>
      </c>
      <c r="B15" s="2" t="s">
        <v>54</v>
      </c>
      <c r="C15" s="13" t="n">
        <v>1</v>
      </c>
      <c r="D15" s="14" t="n">
        <v>900</v>
      </c>
      <c r="E15" s="4" t="n">
        <f aca="false">C15*D15</f>
        <v>900</v>
      </c>
      <c r="F15" s="2" t="s">
        <v>35</v>
      </c>
      <c r="G15" s="2" t="s">
        <v>55</v>
      </c>
      <c r="H15" s="13" t="s">
        <v>37</v>
      </c>
    </row>
    <row r="16" customFormat="false" ht="15" hidden="false" customHeight="false" outlineLevel="0" collapsed="false">
      <c r="A16" s="2" t="s">
        <v>7</v>
      </c>
      <c r="B16" s="2" t="s">
        <v>56</v>
      </c>
      <c r="C16" s="13" t="n">
        <v>3</v>
      </c>
      <c r="D16" s="14" t="n">
        <v>25</v>
      </c>
      <c r="E16" s="4" t="n">
        <f aca="false">C16*D16</f>
        <v>75</v>
      </c>
      <c r="F16" s="2" t="s">
        <v>35</v>
      </c>
      <c r="G16" s="2"/>
      <c r="H16" s="13" t="s">
        <v>37</v>
      </c>
    </row>
    <row r="17" customFormat="false" ht="15" hidden="false" customHeight="false" outlineLevel="0" collapsed="false">
      <c r="A17" s="2" t="s">
        <v>7</v>
      </c>
      <c r="B17" s="2" t="s">
        <v>57</v>
      </c>
      <c r="C17" s="13" t="n">
        <v>3</v>
      </c>
      <c r="D17" s="14" t="n">
        <v>5</v>
      </c>
      <c r="E17" s="4" t="n">
        <f aca="false">C17*D17</f>
        <v>15</v>
      </c>
      <c r="F17" s="2" t="s">
        <v>35</v>
      </c>
      <c r="G17" s="2"/>
      <c r="H17" s="13" t="s">
        <v>37</v>
      </c>
    </row>
    <row r="18" customFormat="false" ht="15" hidden="false" customHeight="false" outlineLevel="0" collapsed="false">
      <c r="A18" s="2" t="s">
        <v>7</v>
      </c>
      <c r="B18" s="2" t="s">
        <v>58</v>
      </c>
      <c r="C18" s="13" t="n">
        <v>1</v>
      </c>
      <c r="D18" s="14" t="n">
        <v>80</v>
      </c>
      <c r="E18" s="4" t="n">
        <f aca="false">C18*D18</f>
        <v>80</v>
      </c>
      <c r="F18" s="2" t="s">
        <v>35</v>
      </c>
      <c r="G18" s="2"/>
      <c r="H18" s="13" t="s">
        <v>37</v>
      </c>
    </row>
    <row r="19" customFormat="false" ht="15" hidden="false" customHeight="false" outlineLevel="0" collapsed="false">
      <c r="A19" s="2" t="s">
        <v>7</v>
      </c>
      <c r="B19" s="2" t="s">
        <v>59</v>
      </c>
      <c r="C19" s="13" t="n">
        <v>1</v>
      </c>
      <c r="D19" s="14" t="n">
        <v>30</v>
      </c>
      <c r="E19" s="4" t="n">
        <f aca="false">C19*D19</f>
        <v>30</v>
      </c>
      <c r="F19" s="2" t="s">
        <v>35</v>
      </c>
      <c r="G19" s="2"/>
      <c r="H19" s="13" t="s">
        <v>37</v>
      </c>
    </row>
    <row r="20" customFormat="false" ht="15" hidden="false" customHeight="false" outlineLevel="0" collapsed="false">
      <c r="A20" s="2" t="s">
        <v>8</v>
      </c>
      <c r="B20" s="2" t="s">
        <v>60</v>
      </c>
      <c r="C20" s="13" t="n">
        <v>1</v>
      </c>
      <c r="D20" s="14" t="n">
        <v>230</v>
      </c>
      <c r="E20" s="4" t="n">
        <f aca="false">C20*D20</f>
        <v>230</v>
      </c>
      <c r="F20" s="2" t="s">
        <v>46</v>
      </c>
      <c r="G20" s="2" t="s">
        <v>61</v>
      </c>
      <c r="H20" s="13" t="s">
        <v>37</v>
      </c>
    </row>
    <row r="21" customFormat="false" ht="15" hidden="false" customHeight="false" outlineLevel="0" collapsed="false">
      <c r="A21" s="2" t="s">
        <v>8</v>
      </c>
      <c r="B21" s="2" t="s">
        <v>62</v>
      </c>
      <c r="C21" s="13" t="n">
        <v>1</v>
      </c>
      <c r="D21" s="14" t="n">
        <v>25</v>
      </c>
      <c r="E21" s="4" t="n">
        <f aca="false">C21*D21</f>
        <v>25</v>
      </c>
      <c r="F21" s="2" t="s">
        <v>35</v>
      </c>
      <c r="G21" s="2" t="s">
        <v>63</v>
      </c>
      <c r="H21" s="13" t="s">
        <v>37</v>
      </c>
    </row>
    <row r="22" customFormat="false" ht="15" hidden="false" customHeight="false" outlineLevel="0" collapsed="false">
      <c r="A22" s="2" t="s">
        <v>8</v>
      </c>
      <c r="B22" s="2" t="s">
        <v>64</v>
      </c>
      <c r="C22" s="13" t="n">
        <v>1</v>
      </c>
      <c r="D22" s="14" t="n">
        <v>350</v>
      </c>
      <c r="E22" s="4" t="n">
        <f aca="false">C22*D22</f>
        <v>350</v>
      </c>
      <c r="F22" s="2" t="s">
        <v>35</v>
      </c>
      <c r="G22" s="2"/>
      <c r="H22" s="13" t="s">
        <v>37</v>
      </c>
    </row>
    <row r="23" customFormat="false" ht="15" hidden="false" customHeight="false" outlineLevel="0" collapsed="false">
      <c r="A23" s="2" t="s">
        <v>8</v>
      </c>
      <c r="B23" s="2" t="s">
        <v>65</v>
      </c>
      <c r="C23" s="13" t="n">
        <v>1</v>
      </c>
      <c r="D23" s="14" t="n">
        <v>80</v>
      </c>
      <c r="E23" s="4" t="n">
        <f aca="false">C23*D23</f>
        <v>80</v>
      </c>
      <c r="F23" s="2" t="s">
        <v>35</v>
      </c>
      <c r="G23" s="2"/>
      <c r="H23" s="13" t="s">
        <v>37</v>
      </c>
    </row>
    <row r="24" customFormat="false" ht="15" hidden="false" customHeight="false" outlineLevel="0" collapsed="false">
      <c r="A24" s="2" t="s">
        <v>8</v>
      </c>
      <c r="B24" s="2" t="s">
        <v>66</v>
      </c>
      <c r="C24" s="13" t="n">
        <v>5</v>
      </c>
      <c r="D24" s="15" t="n">
        <v>3</v>
      </c>
      <c r="E24" s="4" t="n">
        <f aca="false">C24*D24</f>
        <v>15</v>
      </c>
      <c r="F24" s="2" t="s">
        <v>35</v>
      </c>
      <c r="G24" s="2"/>
      <c r="H24" s="13" t="s">
        <v>37</v>
      </c>
    </row>
    <row r="25" customFormat="false" ht="15" hidden="false" customHeight="false" outlineLevel="0" collapsed="false">
      <c r="A25" s="2" t="s">
        <v>8</v>
      </c>
      <c r="B25" s="2" t="s">
        <v>67</v>
      </c>
      <c r="C25" s="13" t="n">
        <v>1</v>
      </c>
      <c r="D25" s="14" t="n">
        <v>10</v>
      </c>
      <c r="E25" s="4" t="n">
        <f aca="false">C25*D25</f>
        <v>10</v>
      </c>
      <c r="F25" s="2" t="s">
        <v>35</v>
      </c>
      <c r="G25" s="2"/>
      <c r="H25" s="13" t="s">
        <v>37</v>
      </c>
    </row>
    <row r="26" customFormat="false" ht="15" hidden="false" customHeight="false" outlineLevel="0" collapsed="false">
      <c r="A26" s="2" t="s">
        <v>9</v>
      </c>
      <c r="B26" s="2" t="s">
        <v>68</v>
      </c>
      <c r="C26" s="13" t="n">
        <v>1</v>
      </c>
      <c r="D26" s="14" t="n">
        <v>220</v>
      </c>
      <c r="E26" s="4" t="n">
        <f aca="false">C26*D26</f>
        <v>220</v>
      </c>
      <c r="F26" s="2" t="s">
        <v>35</v>
      </c>
      <c r="G26" s="2" t="s">
        <v>69</v>
      </c>
      <c r="H26" s="13" t="s">
        <v>37</v>
      </c>
    </row>
    <row r="27" customFormat="false" ht="15" hidden="false" customHeight="false" outlineLevel="0" collapsed="false">
      <c r="A27" s="2" t="s">
        <v>9</v>
      </c>
      <c r="B27" s="2" t="s">
        <v>70</v>
      </c>
      <c r="C27" s="13" t="n">
        <v>1</v>
      </c>
      <c r="D27" s="14" t="n">
        <v>35</v>
      </c>
      <c r="E27" s="4" t="n">
        <f aca="false">C27*D27</f>
        <v>35</v>
      </c>
      <c r="F27" s="2" t="s">
        <v>46</v>
      </c>
      <c r="G27" s="2" t="s">
        <v>71</v>
      </c>
      <c r="H27" s="13" t="s">
        <v>37</v>
      </c>
    </row>
    <row r="28" customFormat="false" ht="15" hidden="false" customHeight="false" outlineLevel="0" collapsed="false">
      <c r="A28" s="2" t="s">
        <v>9</v>
      </c>
      <c r="B28" s="2" t="s">
        <v>72</v>
      </c>
      <c r="C28" s="13" t="n">
        <v>3</v>
      </c>
      <c r="D28" s="14" t="n">
        <v>10</v>
      </c>
      <c r="E28" s="4" t="n">
        <f aca="false">C28*D28</f>
        <v>30</v>
      </c>
      <c r="F28" s="2" t="s">
        <v>35</v>
      </c>
      <c r="G28" s="2"/>
      <c r="H28" s="13" t="s">
        <v>37</v>
      </c>
    </row>
    <row r="29" customFormat="false" ht="15" hidden="false" customHeight="false" outlineLevel="0" collapsed="false">
      <c r="A29" s="2" t="s">
        <v>9</v>
      </c>
      <c r="B29" s="2" t="s">
        <v>73</v>
      </c>
      <c r="C29" s="13" t="n">
        <v>1</v>
      </c>
      <c r="D29" s="14" t="n">
        <v>20</v>
      </c>
      <c r="E29" s="4" t="n">
        <f aca="false">C29*D29</f>
        <v>20</v>
      </c>
      <c r="F29" s="2" t="s">
        <v>35</v>
      </c>
      <c r="G29" s="2"/>
      <c r="H29" s="13" t="s">
        <v>37</v>
      </c>
    </row>
    <row r="30" customFormat="false" ht="15" hidden="false" customHeight="false" outlineLevel="0" collapsed="false">
      <c r="A30" s="2" t="s">
        <v>9</v>
      </c>
      <c r="B30" s="2" t="s">
        <v>74</v>
      </c>
      <c r="C30" s="13" t="n">
        <v>1</v>
      </c>
      <c r="D30" s="14" t="n">
        <v>20</v>
      </c>
      <c r="E30" s="4" t="n">
        <f aca="false">C30*D30</f>
        <v>20</v>
      </c>
      <c r="F30" s="2" t="s">
        <v>35</v>
      </c>
      <c r="G30" s="2"/>
      <c r="H30" s="13" t="s">
        <v>37</v>
      </c>
    </row>
    <row r="31" customFormat="false" ht="15" hidden="false" customHeight="false" outlineLevel="0" collapsed="false">
      <c r="A31" s="2" t="s">
        <v>9</v>
      </c>
      <c r="B31" s="2" t="s">
        <v>75</v>
      </c>
      <c r="C31" s="13" t="n">
        <v>1</v>
      </c>
      <c r="D31" s="14" t="n">
        <v>450</v>
      </c>
      <c r="E31" s="4" t="n">
        <f aca="false">C31*D31</f>
        <v>450</v>
      </c>
      <c r="F31" s="2" t="s">
        <v>35</v>
      </c>
      <c r="G31" s="2" t="s">
        <v>76</v>
      </c>
      <c r="H31" s="13" t="s">
        <v>37</v>
      </c>
    </row>
    <row r="32" customFormat="false" ht="15" hidden="false" customHeight="false" outlineLevel="0" collapsed="false">
      <c r="A32" s="2" t="s">
        <v>9</v>
      </c>
      <c r="B32" s="2" t="s">
        <v>77</v>
      </c>
      <c r="C32" s="13" t="n">
        <v>1000</v>
      </c>
      <c r="D32" s="15" t="n">
        <v>1</v>
      </c>
      <c r="E32" s="4" t="n">
        <f aca="false">C32*D32</f>
        <v>1000</v>
      </c>
      <c r="F32" s="2" t="s">
        <v>35</v>
      </c>
      <c r="G32" s="2" t="s">
        <v>78</v>
      </c>
      <c r="H32" s="13" t="s">
        <v>37</v>
      </c>
    </row>
    <row r="33" customFormat="false" ht="15" hidden="false" customHeight="false" outlineLevel="0" collapsed="false">
      <c r="A33" s="2" t="s">
        <v>9</v>
      </c>
      <c r="B33" s="2" t="s">
        <v>79</v>
      </c>
      <c r="C33" s="13" t="n">
        <v>1</v>
      </c>
      <c r="D33" s="14" t="n">
        <v>45</v>
      </c>
      <c r="E33" s="4" t="n">
        <f aca="false">C33*D33</f>
        <v>45</v>
      </c>
      <c r="F33" s="2" t="s">
        <v>35</v>
      </c>
      <c r="G33" s="2"/>
      <c r="H33" s="13" t="s">
        <v>37</v>
      </c>
    </row>
    <row r="34" customFormat="false" ht="15" hidden="false" customHeight="false" outlineLevel="0" collapsed="false">
      <c r="A34" s="2" t="s">
        <v>10</v>
      </c>
      <c r="B34" s="2" t="s">
        <v>80</v>
      </c>
      <c r="C34" s="13" t="n">
        <v>2</v>
      </c>
      <c r="D34" s="14" t="n">
        <v>440</v>
      </c>
      <c r="E34" s="4" t="n">
        <f aca="false">C34*D34</f>
        <v>880</v>
      </c>
      <c r="F34" s="2" t="s">
        <v>81</v>
      </c>
      <c r="G34" s="2" t="s">
        <v>82</v>
      </c>
      <c r="H34" s="13" t="s">
        <v>37</v>
      </c>
    </row>
    <row r="35" customFormat="false" ht="15" hidden="false" customHeight="false" outlineLevel="0" collapsed="false">
      <c r="A35" s="2" t="s">
        <v>10</v>
      </c>
      <c r="B35" s="2" t="s">
        <v>83</v>
      </c>
      <c r="C35" s="13" t="n">
        <v>1</v>
      </c>
      <c r="D35" s="14" t="n">
        <v>25</v>
      </c>
      <c r="E35" s="4" t="n">
        <f aca="false">C35*D35</f>
        <v>25</v>
      </c>
      <c r="F35" s="2" t="s">
        <v>81</v>
      </c>
      <c r="G35" s="2" t="s">
        <v>82</v>
      </c>
      <c r="H35" s="13" t="s">
        <v>37</v>
      </c>
    </row>
    <row r="36" customFormat="false" ht="15" hidden="false" customHeight="false" outlineLevel="0" collapsed="false">
      <c r="A36" s="2" t="s">
        <v>10</v>
      </c>
      <c r="B36" s="2" t="s">
        <v>84</v>
      </c>
      <c r="C36" s="13" t="n">
        <v>1</v>
      </c>
      <c r="D36" s="14" t="n">
        <v>45</v>
      </c>
      <c r="E36" s="4" t="n">
        <f aca="false">C36*D36</f>
        <v>45</v>
      </c>
      <c r="F36" s="2" t="s">
        <v>35</v>
      </c>
      <c r="G36" s="2" t="s">
        <v>85</v>
      </c>
      <c r="H36" s="13" t="s">
        <v>37</v>
      </c>
    </row>
    <row r="37" customFormat="false" ht="15" hidden="false" customHeight="false" outlineLevel="0" collapsed="false">
      <c r="A37" s="2" t="s">
        <v>10</v>
      </c>
      <c r="B37" s="2" t="s">
        <v>86</v>
      </c>
      <c r="C37" s="13" t="n">
        <v>1</v>
      </c>
      <c r="D37" s="14" t="n">
        <v>5</v>
      </c>
      <c r="E37" s="4" t="n">
        <f aca="false">C37*D37</f>
        <v>5</v>
      </c>
      <c r="F37" s="2" t="s">
        <v>35</v>
      </c>
      <c r="G37" s="2"/>
      <c r="H37" s="13" t="s">
        <v>37</v>
      </c>
    </row>
    <row r="38" customFormat="false" ht="15" hidden="false" customHeight="false" outlineLevel="0" collapsed="false">
      <c r="A38" s="2" t="s">
        <v>10</v>
      </c>
      <c r="B38" s="2" t="s">
        <v>70</v>
      </c>
      <c r="C38" s="13" t="n">
        <v>1</v>
      </c>
      <c r="D38" s="14" t="n">
        <v>35</v>
      </c>
      <c r="E38" s="4" t="n">
        <f aca="false">C38*D38</f>
        <v>35</v>
      </c>
      <c r="F38" s="2" t="s">
        <v>46</v>
      </c>
      <c r="G38" s="2" t="s">
        <v>87</v>
      </c>
      <c r="H38" s="13" t="s">
        <v>37</v>
      </c>
    </row>
    <row r="39" customFormat="false" ht="15" hidden="false" customHeight="false" outlineLevel="0" collapsed="false">
      <c r="A39" s="2" t="s">
        <v>10</v>
      </c>
      <c r="B39" s="2" t="s">
        <v>88</v>
      </c>
      <c r="C39" s="13" t="n">
        <v>1</v>
      </c>
      <c r="D39" s="14" t="n">
        <v>15</v>
      </c>
      <c r="E39" s="4" t="n">
        <f aca="false">C39*D39</f>
        <v>15</v>
      </c>
      <c r="F39" s="2" t="s">
        <v>35</v>
      </c>
      <c r="G39" s="2"/>
      <c r="H39" s="13" t="s">
        <v>37</v>
      </c>
    </row>
    <row r="40" customFormat="false" ht="15" hidden="false" customHeight="false" outlineLevel="0" collapsed="false">
      <c r="A40" s="2" t="s">
        <v>10</v>
      </c>
      <c r="B40" s="2" t="s">
        <v>74</v>
      </c>
      <c r="C40" s="13" t="n">
        <v>1</v>
      </c>
      <c r="D40" s="14" t="n">
        <v>20</v>
      </c>
      <c r="E40" s="4" t="n">
        <f aca="false">C40*D40</f>
        <v>20</v>
      </c>
      <c r="F40" s="2" t="s">
        <v>35</v>
      </c>
      <c r="G40" s="2"/>
      <c r="H40" s="13" t="s">
        <v>37</v>
      </c>
    </row>
    <row r="41" customFormat="false" ht="15" hidden="false" customHeight="false" outlineLevel="0" collapsed="false">
      <c r="A41" s="2" t="s">
        <v>10</v>
      </c>
      <c r="B41" s="2" t="s">
        <v>89</v>
      </c>
      <c r="C41" s="13" t="n">
        <v>2</v>
      </c>
      <c r="D41" s="14" t="n">
        <v>25</v>
      </c>
      <c r="E41" s="4" t="n">
        <f aca="false">C41*D41</f>
        <v>50</v>
      </c>
      <c r="F41" s="2" t="s">
        <v>35</v>
      </c>
      <c r="G41" s="2"/>
      <c r="H41" s="13" t="s">
        <v>37</v>
      </c>
    </row>
    <row r="42" customFormat="false" ht="15" hidden="false" customHeight="false" outlineLevel="0" collapsed="false">
      <c r="A42" s="2" t="s">
        <v>10</v>
      </c>
      <c r="B42" s="2" t="s">
        <v>90</v>
      </c>
      <c r="C42" s="13" t="n">
        <v>1</v>
      </c>
      <c r="D42" s="14" t="n">
        <v>20</v>
      </c>
      <c r="E42" s="4" t="n">
        <f aca="false">C42*D42</f>
        <v>20</v>
      </c>
      <c r="F42" s="2" t="s">
        <v>35</v>
      </c>
      <c r="G42" s="2"/>
      <c r="H42" s="13" t="s">
        <v>37</v>
      </c>
    </row>
    <row r="43" customFormat="false" ht="15" hidden="false" customHeight="false" outlineLevel="0" collapsed="false">
      <c r="A43" s="2" t="s">
        <v>10</v>
      </c>
      <c r="B43" s="2" t="s">
        <v>91</v>
      </c>
      <c r="C43" s="13" t="n">
        <v>1</v>
      </c>
      <c r="D43" s="14" t="n">
        <v>550</v>
      </c>
      <c r="E43" s="4" t="n">
        <f aca="false">C43*D43</f>
        <v>550</v>
      </c>
      <c r="F43" s="2" t="s">
        <v>35</v>
      </c>
      <c r="G43" s="2" t="s">
        <v>92</v>
      </c>
      <c r="H43" s="13" t="s">
        <v>37</v>
      </c>
    </row>
    <row r="44" customFormat="false" ht="15" hidden="false" customHeight="false" outlineLevel="0" collapsed="false">
      <c r="A44" s="2" t="s">
        <v>10</v>
      </c>
      <c r="B44" s="2" t="s">
        <v>93</v>
      </c>
      <c r="C44" s="13" t="n">
        <v>1</v>
      </c>
      <c r="D44" s="14" t="n">
        <v>60</v>
      </c>
      <c r="E44" s="4" t="n">
        <f aca="false">C44*D44</f>
        <v>60</v>
      </c>
      <c r="F44" s="2" t="s">
        <v>35</v>
      </c>
      <c r="G44" s="2"/>
      <c r="H44" s="13" t="s">
        <v>37</v>
      </c>
    </row>
    <row r="45" customFormat="false" ht="15" hidden="false" customHeight="false" outlineLevel="0" collapsed="false">
      <c r="A45" s="2" t="s">
        <v>10</v>
      </c>
      <c r="B45" s="2" t="s">
        <v>94</v>
      </c>
      <c r="C45" s="13" t="n">
        <v>20</v>
      </c>
      <c r="D45" s="15" t="n">
        <v>0.5</v>
      </c>
      <c r="E45" s="4" t="n">
        <f aca="false">C45*D45</f>
        <v>10</v>
      </c>
      <c r="F45" s="2" t="s">
        <v>81</v>
      </c>
      <c r="G45" s="2" t="s">
        <v>95</v>
      </c>
      <c r="H45" s="13" t="s">
        <v>37</v>
      </c>
    </row>
    <row r="46" customFormat="false" ht="15" hidden="false" customHeight="false" outlineLevel="0" collapsed="false">
      <c r="A46" s="2" t="s">
        <v>11</v>
      </c>
      <c r="B46" s="2" t="s">
        <v>96</v>
      </c>
      <c r="C46" s="13" t="n">
        <v>1</v>
      </c>
      <c r="D46" s="14" t="n">
        <v>180</v>
      </c>
      <c r="E46" s="4" t="n">
        <f aca="false">C46*D46</f>
        <v>180</v>
      </c>
      <c r="F46" s="2" t="s">
        <v>35</v>
      </c>
      <c r="G46" s="2"/>
      <c r="H46" s="13" t="s">
        <v>37</v>
      </c>
    </row>
    <row r="47" customFormat="false" ht="15" hidden="false" customHeight="false" outlineLevel="0" collapsed="false">
      <c r="A47" s="2" t="s">
        <v>11</v>
      </c>
      <c r="B47" s="2" t="s">
        <v>97</v>
      </c>
      <c r="C47" s="13" t="n">
        <v>1</v>
      </c>
      <c r="D47" s="14" t="n">
        <v>250</v>
      </c>
      <c r="E47" s="4" t="n">
        <f aca="false">C47*D47</f>
        <v>250</v>
      </c>
      <c r="F47" s="2" t="s">
        <v>35</v>
      </c>
      <c r="G47" s="2"/>
      <c r="H47" s="13" t="s">
        <v>37</v>
      </c>
    </row>
    <row r="48" customFormat="false" ht="15" hidden="false" customHeight="false" outlineLevel="0" collapsed="false">
      <c r="A48" s="2" t="s">
        <v>11</v>
      </c>
      <c r="B48" s="2" t="s">
        <v>98</v>
      </c>
      <c r="C48" s="13" t="n">
        <v>1</v>
      </c>
      <c r="D48" s="14" t="n">
        <v>20</v>
      </c>
      <c r="E48" s="4" t="n">
        <f aca="false">C48*D48</f>
        <v>20</v>
      </c>
      <c r="F48" s="2" t="s">
        <v>35</v>
      </c>
      <c r="G48" s="2"/>
      <c r="H48" s="13" t="s">
        <v>37</v>
      </c>
    </row>
    <row r="49" customFormat="false" ht="15" hidden="false" customHeight="false" outlineLevel="0" collapsed="false">
      <c r="A49" s="2" t="s">
        <v>12</v>
      </c>
      <c r="B49" s="2" t="s">
        <v>99</v>
      </c>
      <c r="C49" s="13" t="n">
        <v>1</v>
      </c>
      <c r="D49" s="14" t="n">
        <v>70</v>
      </c>
      <c r="E49" s="4" t="n">
        <f aca="false">C49*D49</f>
        <v>70</v>
      </c>
      <c r="F49" s="2" t="s">
        <v>35</v>
      </c>
      <c r="G49" s="2"/>
      <c r="H49" s="13" t="s">
        <v>37</v>
      </c>
    </row>
    <row r="50" customFormat="false" ht="15" hidden="false" customHeight="false" outlineLevel="0" collapsed="false">
      <c r="A50" s="2" t="s">
        <v>12</v>
      </c>
      <c r="B50" s="2" t="s">
        <v>100</v>
      </c>
      <c r="C50" s="13" t="n">
        <v>1</v>
      </c>
      <c r="D50" s="14" t="n">
        <v>220</v>
      </c>
      <c r="E50" s="4" t="n">
        <f aca="false">C50*D50</f>
        <v>220</v>
      </c>
      <c r="F50" s="2" t="s">
        <v>81</v>
      </c>
      <c r="G50" s="2" t="s">
        <v>82</v>
      </c>
      <c r="H50" s="13" t="s">
        <v>37</v>
      </c>
    </row>
    <row r="51" customFormat="false" ht="15" hidden="false" customHeight="false" outlineLevel="0" collapsed="false">
      <c r="A51" s="2" t="s">
        <v>12</v>
      </c>
      <c r="B51" s="2" t="s">
        <v>101</v>
      </c>
      <c r="C51" s="13" t="n">
        <v>1</v>
      </c>
      <c r="D51" s="14" t="n">
        <v>150</v>
      </c>
      <c r="E51" s="4" t="n">
        <f aca="false">C51*D51</f>
        <v>150</v>
      </c>
      <c r="F51" s="2" t="s">
        <v>35</v>
      </c>
      <c r="G51" s="2"/>
      <c r="H51" s="13" t="s">
        <v>37</v>
      </c>
    </row>
    <row r="52" customFormat="false" ht="15" hidden="false" customHeight="false" outlineLevel="0" collapsed="false">
      <c r="A52" s="2" t="s">
        <v>12</v>
      </c>
      <c r="B52" s="2" t="s">
        <v>102</v>
      </c>
      <c r="C52" s="13" t="n">
        <v>1</v>
      </c>
      <c r="D52" s="14" t="n">
        <v>200</v>
      </c>
      <c r="E52" s="4" t="n">
        <f aca="false">C52*D52</f>
        <v>200</v>
      </c>
      <c r="F52" s="2" t="s">
        <v>35</v>
      </c>
      <c r="G52" s="2"/>
      <c r="H52" s="13" t="s">
        <v>37</v>
      </c>
    </row>
    <row r="53" customFormat="false" ht="15" hidden="false" customHeight="false" outlineLevel="0" collapsed="false">
      <c r="A53" s="2" t="s">
        <v>12</v>
      </c>
      <c r="B53" s="2" t="s">
        <v>103</v>
      </c>
      <c r="C53" s="13" t="n">
        <v>1</v>
      </c>
      <c r="D53" s="14" t="n">
        <v>100</v>
      </c>
      <c r="E53" s="4" t="n">
        <f aca="false">C53*D53</f>
        <v>100</v>
      </c>
      <c r="F53" s="2" t="s">
        <v>35</v>
      </c>
      <c r="G53" s="2"/>
      <c r="H53" s="13" t="s">
        <v>37</v>
      </c>
    </row>
    <row r="54" customFormat="false" ht="15" hidden="false" customHeight="false" outlineLevel="0" collapsed="false">
      <c r="A54" s="2" t="s">
        <v>104</v>
      </c>
      <c r="B54" s="2" t="s">
        <v>105</v>
      </c>
      <c r="C54" s="13" t="n">
        <v>1</v>
      </c>
      <c r="D54" s="14" t="n">
        <v>450</v>
      </c>
      <c r="E54" s="4" t="n">
        <f aca="false">C54*D54</f>
        <v>450</v>
      </c>
      <c r="F54" s="2" t="s">
        <v>35</v>
      </c>
      <c r="G54" s="2" t="s">
        <v>106</v>
      </c>
      <c r="H54" s="13" t="s">
        <v>107</v>
      </c>
    </row>
    <row r="55" customFormat="false" ht="15" hidden="false" customHeight="false" outlineLevel="0" collapsed="false">
      <c r="A55" s="2" t="s">
        <v>104</v>
      </c>
      <c r="B55" s="2" t="s">
        <v>108</v>
      </c>
      <c r="C55" s="13" t="n">
        <v>1</v>
      </c>
      <c r="D55" s="14" t="n">
        <v>400</v>
      </c>
      <c r="E55" s="4" t="n">
        <f aca="false">C55*D55</f>
        <v>400</v>
      </c>
      <c r="F55" s="2" t="s">
        <v>35</v>
      </c>
      <c r="G55" s="2"/>
      <c r="H55" s="13" t="s">
        <v>107</v>
      </c>
    </row>
    <row r="56" customFormat="false" ht="15" hidden="false" customHeight="false" outlineLevel="0" collapsed="false">
      <c r="A56" s="2" t="s">
        <v>104</v>
      </c>
      <c r="B56" s="2" t="s">
        <v>109</v>
      </c>
      <c r="C56" s="13" t="n">
        <v>1</v>
      </c>
      <c r="D56" s="14" t="n">
        <v>150</v>
      </c>
      <c r="E56" s="4" t="n">
        <f aca="false">C56*D56</f>
        <v>150</v>
      </c>
      <c r="F56" s="2" t="s">
        <v>35</v>
      </c>
      <c r="G56" s="2"/>
      <c r="H56" s="13" t="s">
        <v>107</v>
      </c>
    </row>
    <row r="57" customFormat="false" ht="15" hidden="false" customHeight="false" outlineLevel="0" collapsed="false">
      <c r="A57" s="2" t="s">
        <v>104</v>
      </c>
      <c r="B57" s="2" t="s">
        <v>110</v>
      </c>
      <c r="C57" s="13" t="n">
        <v>1</v>
      </c>
      <c r="D57" s="14" t="n">
        <v>150</v>
      </c>
      <c r="E57" s="4" t="n">
        <f aca="false">C57*D57</f>
        <v>150</v>
      </c>
      <c r="F57" s="2" t="s">
        <v>35</v>
      </c>
      <c r="G57" s="2"/>
      <c r="H57" s="13" t="s">
        <v>107</v>
      </c>
    </row>
    <row r="58" customFormat="false" ht="15" hidden="false" customHeight="false" outlineLevel="0" collapsed="false">
      <c r="A58" s="2" t="s">
        <v>104</v>
      </c>
      <c r="B58" s="2" t="s">
        <v>111</v>
      </c>
      <c r="C58" s="13" t="n">
        <v>1</v>
      </c>
      <c r="D58" s="14" t="n">
        <v>75</v>
      </c>
      <c r="E58" s="4" t="n">
        <f aca="false">C58*D58</f>
        <v>75</v>
      </c>
      <c r="F58" s="2" t="s">
        <v>35</v>
      </c>
      <c r="G58" s="2"/>
      <c r="H58" s="13" t="s">
        <v>107</v>
      </c>
    </row>
    <row r="59" customFormat="false" ht="15" hidden="false" customHeight="false" outlineLevel="0" collapsed="false">
      <c r="A59" s="2" t="s">
        <v>104</v>
      </c>
      <c r="B59" s="2" t="s">
        <v>112</v>
      </c>
      <c r="C59" s="13" t="n">
        <v>1</v>
      </c>
      <c r="D59" s="14" t="n">
        <v>140</v>
      </c>
      <c r="E59" s="4" t="n">
        <f aca="false">C59*D59</f>
        <v>140</v>
      </c>
      <c r="F59" s="2" t="s">
        <v>35</v>
      </c>
      <c r="G59" s="2"/>
      <c r="H59" s="13" t="s">
        <v>107</v>
      </c>
    </row>
    <row r="60" customFormat="false" ht="15" hidden="false" customHeight="false" outlineLevel="0" collapsed="false">
      <c r="A60" s="2" t="s">
        <v>16</v>
      </c>
      <c r="B60" s="2" t="s">
        <v>113</v>
      </c>
      <c r="C60" s="13" t="n">
        <v>1</v>
      </c>
      <c r="D60" s="14" t="n">
        <v>400</v>
      </c>
      <c r="E60" s="4" t="n">
        <f aca="false">C60*D60</f>
        <v>400</v>
      </c>
      <c r="F60" s="2" t="s">
        <v>35</v>
      </c>
      <c r="G60" s="2" t="s">
        <v>114</v>
      </c>
      <c r="H60" s="13" t="s">
        <v>37</v>
      </c>
    </row>
    <row r="61" customFormat="false" ht="15" hidden="false" customHeight="false" outlineLevel="0" collapsed="false">
      <c r="A61" s="2" t="s">
        <v>16</v>
      </c>
      <c r="B61" s="2" t="s">
        <v>115</v>
      </c>
      <c r="C61" s="13" t="n">
        <v>100</v>
      </c>
      <c r="D61" s="15" t="n">
        <v>1</v>
      </c>
      <c r="E61" s="4" t="n">
        <f aca="false">C61*D61</f>
        <v>100</v>
      </c>
      <c r="F61" s="2" t="s">
        <v>35</v>
      </c>
      <c r="G61" s="2"/>
      <c r="H61" s="13" t="s">
        <v>37</v>
      </c>
    </row>
    <row r="62" customFormat="false" ht="15" hidden="false" customHeight="false" outlineLevel="0" collapsed="false">
      <c r="A62" s="2" t="s">
        <v>16</v>
      </c>
      <c r="B62" s="2" t="s">
        <v>116</v>
      </c>
      <c r="C62" s="13" t="n">
        <v>1</v>
      </c>
      <c r="D62" s="14" t="n">
        <v>50</v>
      </c>
      <c r="E62" s="4" t="n">
        <f aca="false">C62*D62</f>
        <v>50</v>
      </c>
      <c r="F62" s="2" t="s">
        <v>35</v>
      </c>
      <c r="G62" s="2"/>
      <c r="H62" s="13" t="s">
        <v>37</v>
      </c>
    </row>
    <row r="63" customFormat="false" ht="15" hidden="false" customHeight="false" outlineLevel="0" collapsed="false">
      <c r="A63" s="2" t="s">
        <v>16</v>
      </c>
      <c r="B63" s="2" t="s">
        <v>117</v>
      </c>
      <c r="C63" s="13" t="n">
        <v>1</v>
      </c>
      <c r="D63" s="15" t="n">
        <v>0</v>
      </c>
      <c r="E63" s="4" t="n">
        <f aca="false">C63*D63</f>
        <v>0</v>
      </c>
      <c r="F63" s="2" t="s">
        <v>46</v>
      </c>
      <c r="G63" s="2" t="s">
        <v>118</v>
      </c>
      <c r="H63" s="1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2026-10-25T07:58:15Z</dcterms:created>
  <dc:creator>openpyxl</dc:creator>
  <dc:description/>
  <dc:language>en-US</dc:language>
  <cp:lastModifiedBy/>
  <dcterms:modified xsi:type="dcterms:W3CDTF">2026-10-25T07:58:15Z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