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;(€#,##0);-"/>
    <numFmt numFmtId="165" formatCode="€#,##0.00;(€#,##0.00);-"/>
    <numFmt numFmtId="166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  <sz val="14"/>
    </font>
    <font>
      <name val="Arial"/>
      <b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3A3A3A"/>
      </patternFill>
    </fill>
    <fill>
      <patternFill patternType="solid">
        <fgColor rgb="00FFF2B3"/>
      </patternFill>
    </fill>
  </fills>
  <borders count="2">
    <border>
      <left/>
      <right/>
      <top/>
      <bottom/>
      <diagonal/>
    </border>
    <border>
      <top style="thin">
        <color rgb="00BBBBBB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6" fontId="2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9" fontId="3" fillId="3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</cols>
  <sheetData>
    <row r="1">
      <c r="A1" s="1" t="inlineStr">
        <is>
          <t>SUNSET: budget to build the nine panels</t>
        </is>
      </c>
    </row>
    <row r="2">
      <c r="A2" s="2" t="inlineStr">
        <is>
          <t>Draft, 25 Oct 2026. Hardware and first-year running costs; PVA's own labour, travel and permit fees are not included.</t>
        </is>
      </c>
    </row>
    <row r="4">
      <c r="A4" s="3" t="inlineStr">
        <is>
          <t>Node</t>
        </is>
      </c>
      <c r="B4" s="3" t="inlineStr">
        <is>
          <t>Cost (€)</t>
        </is>
      </c>
      <c r="C4" s="3" t="inlineStr">
        <is>
          <t>Share</t>
        </is>
      </c>
    </row>
    <row r="5">
      <c r="A5" s="2" t="inlineStr">
        <is>
          <t>Walls 1–4</t>
        </is>
      </c>
      <c r="B5" s="4">
        <f>SUMIFS(Lines!$E$2:$E$63,Lines!$A$2:$A$63,A5,Lines!$H$2:$H$63,"Yes")</f>
        <v/>
      </c>
      <c r="C5" s="5">
        <f>IFERROR(B5/$B$13,0)</f>
        <v/>
      </c>
    </row>
    <row r="6">
      <c r="A6" s="2" t="inlineStr">
        <is>
          <t>Battery tier (5 interactive nodes)</t>
        </is>
      </c>
      <c r="B6" s="4">
        <f>SUMIFS(Lines!$E$2:$E$63,Lines!$A$2:$A$63,A6,Lines!$H$2:$H$63,"Yes")</f>
        <v/>
      </c>
      <c r="C6" s="5">
        <f>IFERROR(B6/$B$13,0)</f>
        <v/>
      </c>
    </row>
    <row r="7">
      <c r="A7" s="2" t="inlineStr">
        <is>
          <t>Street auction</t>
        </is>
      </c>
      <c r="B7" s="4">
        <f>SUMIFS(Lines!$E$2:$E$63,Lines!$A$2:$A$63,A7,Lines!$H$2:$H$63,"Yes")</f>
        <v/>
      </c>
      <c r="C7" s="5">
        <f>IFERROR(B7/$B$13,0)</f>
        <v/>
      </c>
    </row>
    <row r="8">
      <c r="A8" s="2" t="inlineStr">
        <is>
          <t>Arm game</t>
        </is>
      </c>
      <c r="B8" s="4">
        <f>SUMIFS(Lines!$E$2:$E$63,Lines!$A$2:$A$63,A8,Lines!$H$2:$H$63,"Yes")</f>
        <v/>
      </c>
      <c r="C8" s="5">
        <f>IFERROR(B8/$B$13,0)</f>
        <v/>
      </c>
    </row>
    <row r="9">
      <c r="A9" s="2" t="inlineStr">
        <is>
          <t>Gettoneria</t>
        </is>
      </c>
      <c r="B9" s="4">
        <f>SUMIFS(Lines!$E$2:$E$63,Lines!$A$2:$A$63,A9,Lines!$H$2:$H$63,"Yes")</f>
        <v/>
      </c>
      <c r="C9" s="5">
        <f>IFERROR(B9/$B$13,0)</f>
        <v/>
      </c>
    </row>
    <row r="10">
      <c r="A10" s="2" t="inlineStr">
        <is>
          <t>Flip-dot wall</t>
        </is>
      </c>
      <c r="B10" s="4">
        <f>SUMIFS(Lines!$E$2:$E$63,Lines!$A$2:$A$63,A10,Lines!$H$2:$H$63,"Yes")</f>
        <v/>
      </c>
      <c r="C10" s="5">
        <f>IFERROR(B10/$B$13,0)</f>
        <v/>
      </c>
    </row>
    <row r="11">
      <c r="A11" s="2" t="inlineStr">
        <is>
          <t>The SUNSET set</t>
        </is>
      </c>
      <c r="B11" s="4">
        <f>SUMIFS(Lines!$E$2:$E$63,Lines!$A$2:$A$63,A11,Lines!$H$2:$H$63,"Yes")</f>
        <v/>
      </c>
      <c r="C11" s="5">
        <f>IFERROR(B11/$B$13,0)</f>
        <v/>
      </c>
    </row>
    <row r="12">
      <c r="A12" s="2" t="inlineStr">
        <is>
          <t>Shared</t>
        </is>
      </c>
      <c r="B12" s="4">
        <f>SUMIFS(Lines!$E$2:$E$63,Lines!$A$2:$A$63,A12,Lines!$H$2:$H$63,"Yes")</f>
        <v/>
      </c>
      <c r="C12" s="5">
        <f>IFERROR(B12/$B$13,0)</f>
        <v/>
      </c>
    </row>
    <row r="13">
      <c r="A13" s="6" t="inlineStr">
        <is>
          <t>Build subtotal</t>
        </is>
      </c>
      <c r="B13" s="7">
        <f>SUM(B5:B12)</f>
        <v/>
      </c>
      <c r="C13" s="8" t="n"/>
    </row>
    <row r="14">
      <c r="A14" s="2" t="inlineStr">
        <is>
          <t>Contingency</t>
        </is>
      </c>
      <c r="B14" s="4">
        <f>B13*B19</f>
        <v/>
      </c>
    </row>
    <row r="15">
      <c r="A15" s="6" t="inlineStr">
        <is>
          <t>Build total</t>
        </is>
      </c>
      <c r="B15" s="7">
        <f>B13+B14</f>
        <v/>
      </c>
      <c r="C15" s="8" t="n"/>
    </row>
    <row r="16">
      <c r="A16" s="2" t="inlineStr">
        <is>
          <t>Running, first year</t>
        </is>
      </c>
      <c r="B16" s="4">
        <f>SUMIFS(Lines!$E$2:$E$63,Lines!$A$2:$A$63,"Running, first year",Lines!$H$2:$H$63,"Yes")</f>
        <v/>
      </c>
    </row>
    <row r="17">
      <c r="A17" s="9" t="inlineStr">
        <is>
          <t>Total, build and first year</t>
        </is>
      </c>
      <c r="B17" s="10">
        <f>B15+B16</f>
        <v/>
      </c>
      <c r="C17" s="8" t="n"/>
    </row>
    <row r="19">
      <c r="A19" s="2" t="inlineStr">
        <is>
          <t>Contingency rate</t>
        </is>
      </c>
      <c r="B19" s="11" t="n">
        <v>0.15</v>
      </c>
    </row>
    <row r="21">
      <c r="A21" s="12" t="inlineStr">
        <is>
          <t>Option, not in the total:</t>
        </is>
      </c>
    </row>
    <row r="22">
      <c r="A22" s="2" t="inlineStr">
        <is>
          <t>Garden node (replaces one wall)</t>
        </is>
      </c>
      <c r="B22" s="4">
        <f>SUMIFS(Lines!$E$2:$E$63,Lines!$A$2:$A$63,"Garden node (option)")</f>
        <v/>
      </c>
    </row>
    <row r="24">
      <c r="A24" s="12" t="inlineStr">
        <is>
          <t>How to use it</t>
        </is>
      </c>
    </row>
    <row r="25">
      <c r="A25" s="2" t="inlineStr">
        <is>
          <t>Edit only the blue cells: quantities, unit prices and Include (Yes/No) on the Lines sheet, and the contingency rate above (yellow).</t>
        </is>
      </c>
    </row>
    <row r="26">
      <c r="A26" s="2" t="inlineStr">
        <is>
          <t>Basis on each line: Quote (from the supplier), Listed price (seen online, Oct 2026), Estimate (to be confirmed).</t>
        </is>
      </c>
    </row>
    <row r="27">
      <c r="A27" s="2" t="inlineStr">
        <is>
          <t>Prices include VAT where they are retail prices; Alfa-Zeta invoices B2B to an Italian VAT number (reverse charge).</t>
        </is>
      </c>
    </row>
    <row r="28">
      <c r="A28" s="2" t="inlineStr">
        <is>
          <t>To include the garden node, set its lines' Include to Yes on the Lines sheet.</t>
        </is>
      </c>
    </row>
    <row r="29">
      <c r="A29" s="2" t="inlineStr">
        <is>
          <t>Not included: PVA's labour, travel, permit and authorisation fees, and the token artwork.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7" customWidth="1" min="3" max="3"/>
    <col width="11" customWidth="1" min="4" max="4"/>
    <col width="12" customWidth="1" min="5" max="5"/>
    <col width="14" customWidth="1" min="6" max="6"/>
    <col width="70" customWidth="1" min="7" max="7"/>
    <col width="9" customWidth="1" min="8" max="8"/>
  </cols>
  <sheetData>
    <row r="1">
      <c r="A1" s="3" t="inlineStr">
        <is>
          <t>Node</t>
        </is>
      </c>
      <c r="B1" s="3" t="inlineStr">
        <is>
          <t>Item</t>
        </is>
      </c>
      <c r="C1" s="3" t="inlineStr">
        <is>
          <t>Qty</t>
        </is>
      </c>
      <c r="D1" s="3" t="inlineStr">
        <is>
          <t>Unit (€)</t>
        </is>
      </c>
      <c r="E1" s="3" t="inlineStr">
        <is>
          <t>Total (€)</t>
        </is>
      </c>
      <c r="F1" s="3" t="inlineStr">
        <is>
          <t>Basis</t>
        </is>
      </c>
      <c r="G1" s="3" t="inlineStr">
        <is>
          <t>Source / note</t>
        </is>
      </c>
      <c r="H1" s="3" t="inlineStr">
        <is>
          <t>Include</t>
        </is>
      </c>
    </row>
    <row r="2">
      <c r="A2" s="2" t="inlineStr">
        <is>
          <t>Walls 1–4</t>
        </is>
      </c>
      <c r="B2" s="2" t="inlineStr">
        <is>
          <t>Retired PV panel, 185 W class</t>
        </is>
      </c>
      <c r="C2" s="13" t="n">
        <v>4</v>
      </c>
      <c r="D2" s="14" t="n">
        <v>30</v>
      </c>
      <c r="E2" s="4">
        <f>C2*D2</f>
        <v/>
      </c>
      <c r="F2" s="2" t="inlineStr">
        <is>
          <t>Estimate</t>
        </is>
      </c>
      <c r="G2" s="2" t="inlineStr">
        <is>
          <t>Second-hand / end-of-life panel; may be donated</t>
        </is>
      </c>
      <c r="H2" s="13" t="inlineStr">
        <is>
          <t>Yes</t>
        </is>
      </c>
    </row>
    <row r="3">
      <c r="A3" s="2" t="inlineStr">
        <is>
          <t>Walls 1–4</t>
        </is>
      </c>
      <c r="B3" s="2" t="inlineStr">
        <is>
          <t>PVA carrier board v1, assembled, with ELEGOO ESP32, DS3231, probe</t>
        </is>
      </c>
      <c r="C3" s="13" t="n">
        <v>4</v>
      </c>
      <c r="D3" s="14" t="n">
        <v>70</v>
      </c>
      <c r="E3" s="4">
        <f>C3*D3</f>
        <v/>
      </c>
      <c r="F3" s="2" t="inlineStr">
        <is>
          <t>Estimate</t>
        </is>
      </c>
      <c r="G3" s="2" t="inlineStr">
        <is>
          <t>Small-run assembly with SUNDIAL's order; confirm with the PCB maker's quote</t>
        </is>
      </c>
      <c r="H3" s="13" t="inlineStr">
        <is>
          <t>Yes</t>
        </is>
      </c>
    </row>
    <row r="4">
      <c r="A4" s="2" t="inlineStr">
        <is>
          <t>Walls 1–4</t>
        </is>
      </c>
      <c r="B4" s="2" t="inlineStr">
        <is>
          <t>IP65 box, glands, breather vent</t>
        </is>
      </c>
      <c r="C4" s="13" t="n">
        <v>4</v>
      </c>
      <c r="D4" s="14" t="n">
        <v>30</v>
      </c>
      <c r="E4" s="4">
        <f>C4*D4</f>
        <v/>
      </c>
      <c r="F4" s="2" t="inlineStr">
        <is>
          <t>Estimate</t>
        </is>
      </c>
      <c r="G4" s="2" t="inlineStr">
        <is>
          <t>As SUNDIAL (CARRIER.md: about 150 x 110 x 70 mm)</t>
        </is>
      </c>
      <c r="H4" s="13" t="inlineStr">
        <is>
          <t>Yes</t>
        </is>
      </c>
    </row>
    <row r="5">
      <c r="A5" s="2" t="inlineStr">
        <is>
          <t>Walls 1–4</t>
        </is>
      </c>
      <c r="B5" s="2" t="inlineStr">
        <is>
          <t>Fixings, stand-offs, cable, fuse</t>
        </is>
      </c>
      <c r="C5" s="13" t="n">
        <v>4</v>
      </c>
      <c r="D5" s="14" t="n">
        <v>40</v>
      </c>
      <c r="E5" s="4">
        <f>C5*D5</f>
        <v/>
      </c>
      <c r="F5" s="2" t="inlineStr">
        <is>
          <t>Estimate</t>
        </is>
      </c>
      <c r="G5" s="2" t="inlineStr"/>
      <c r="H5" s="13" t="inlineStr">
        <is>
          <t>Yes</t>
        </is>
      </c>
    </row>
    <row r="6">
      <c r="A6" s="2" t="inlineStr">
        <is>
          <t>Walls 1–4</t>
        </is>
      </c>
      <c r="B6" s="2" t="inlineStr">
        <is>
          <t>Wall plate: number, 5 x 5 logo, Wi-Fi QR</t>
        </is>
      </c>
      <c r="C6" s="13" t="n">
        <v>4</v>
      </c>
      <c r="D6" s="14" t="n">
        <v>20</v>
      </c>
      <c r="E6" s="4">
        <f>C6*D6</f>
        <v/>
      </c>
      <c r="F6" s="2" t="inlineStr">
        <is>
          <t>Estimate</t>
        </is>
      </c>
      <c r="G6" s="2" t="inlineStr"/>
      <c r="H6" s="13" t="inlineStr">
        <is>
          <t>Yes</t>
        </is>
      </c>
    </row>
    <row r="7">
      <c r="A7" s="2" t="inlineStr">
        <is>
          <t>Battery tier (5 interactive nodes)</t>
        </is>
      </c>
      <c r="B7" s="2" t="inlineStr">
        <is>
          <t>Retired PV panel, 185 W class</t>
        </is>
      </c>
      <c r="C7" s="13" t="n">
        <v>5</v>
      </c>
      <c r="D7" s="14" t="n">
        <v>30</v>
      </c>
      <c r="E7" s="4">
        <f>C7*D7</f>
        <v/>
      </c>
      <c r="F7" s="2" t="inlineStr">
        <is>
          <t>Estimate</t>
        </is>
      </c>
      <c r="G7" s="2" t="inlineStr"/>
      <c r="H7" s="13" t="inlineStr">
        <is>
          <t>Yes</t>
        </is>
      </c>
    </row>
    <row r="8">
      <c r="A8" s="2" t="inlineStr">
        <is>
          <t>Battery tier (5 interactive nodes)</t>
        </is>
      </c>
      <c r="B8" s="2" t="inlineStr">
        <is>
          <t>PVA carrier board v1, assembled</t>
        </is>
      </c>
      <c r="C8" s="13" t="n">
        <v>5</v>
      </c>
      <c r="D8" s="14" t="n">
        <v>70</v>
      </c>
      <c r="E8" s="4">
        <f>C8*D8</f>
        <v/>
      </c>
      <c r="F8" s="2" t="inlineStr">
        <is>
          <t>Estimate</t>
        </is>
      </c>
      <c r="G8" s="2" t="inlineStr"/>
      <c r="H8" s="13" t="inlineStr">
        <is>
          <t>Yes</t>
        </is>
      </c>
    </row>
    <row r="9">
      <c r="A9" s="2" t="inlineStr">
        <is>
          <t>Battery tier (5 interactive nodes)</t>
        </is>
      </c>
      <c r="B9" s="2" t="inlineStr">
        <is>
          <t>Victron SmartSolar MPPT 75/15</t>
        </is>
      </c>
      <c r="C9" s="13" t="n">
        <v>5</v>
      </c>
      <c r="D9" s="14" t="n">
        <v>102</v>
      </c>
      <c r="E9" s="4">
        <f>C9*D9</f>
        <v/>
      </c>
      <c r="F9" s="2" t="inlineStr">
        <is>
          <t>Listed price</t>
        </is>
      </c>
      <c r="G9" s="2" t="inlineStr">
        <is>
          <t>BigBuy, about €102 each for 6+ (Oct 2026)</t>
        </is>
      </c>
      <c r="H9" s="13" t="inlineStr">
        <is>
          <t>Yes</t>
        </is>
      </c>
    </row>
    <row r="10">
      <c r="A10" s="2" t="inlineStr">
        <is>
          <t>Battery tier (5 interactive nodes)</t>
        </is>
      </c>
      <c r="B10" s="2" t="inlineStr">
        <is>
          <t>12 V LiFePO4 battery, 50 Ah</t>
        </is>
      </c>
      <c r="C10" s="13" t="n">
        <v>5</v>
      </c>
      <c r="D10" s="14" t="n">
        <v>200</v>
      </c>
      <c r="E10" s="4">
        <f>C10*D10</f>
        <v/>
      </c>
      <c r="F10" s="2" t="inlineStr">
        <is>
          <t>Estimate</t>
        </is>
      </c>
      <c r="G10" s="2" t="inlineStr">
        <is>
          <t>Premium brand listed at €286 (Patona, Oct 2026); budget brands lower. Size per node in the pilot</t>
        </is>
      </c>
      <c r="H10" s="13" t="inlineStr">
        <is>
          <t>Yes</t>
        </is>
      </c>
    </row>
    <row r="11">
      <c r="A11" s="2" t="inlineStr">
        <is>
          <t>Battery tier (5 interactive nodes)</t>
        </is>
      </c>
      <c r="B11" s="2" t="inlineStr">
        <is>
          <t>Equipment cabinet, IP65, for battery, MPPT and board</t>
        </is>
      </c>
      <c r="C11" s="13" t="n">
        <v>5</v>
      </c>
      <c r="D11" s="14" t="n">
        <v>150</v>
      </c>
      <c r="E11" s="4">
        <f>C11*D11</f>
        <v/>
      </c>
      <c r="F11" s="2" t="inlineStr">
        <is>
          <t>Estimate</t>
        </is>
      </c>
      <c r="G11" s="2" t="inlineStr"/>
      <c r="H11" s="13" t="inlineStr">
        <is>
          <t>Yes</t>
        </is>
      </c>
    </row>
    <row r="12">
      <c r="A12" s="2" t="inlineStr">
        <is>
          <t>Battery tier (5 interactive nodes)</t>
        </is>
      </c>
      <c r="B12" s="2" t="inlineStr">
        <is>
          <t>Fuses, holders, cables, VE.Direct cable</t>
        </is>
      </c>
      <c r="C12" s="13" t="n">
        <v>5</v>
      </c>
      <c r="D12" s="14" t="n">
        <v>50</v>
      </c>
      <c r="E12" s="4">
        <f>C12*D12</f>
        <v/>
      </c>
      <c r="F12" s="2" t="inlineStr">
        <is>
          <t>Estimate</t>
        </is>
      </c>
      <c r="G12" s="2" t="inlineStr"/>
      <c r="H12" s="13" t="inlineStr">
        <is>
          <t>Yes</t>
        </is>
      </c>
    </row>
    <row r="13">
      <c r="A13" s="2" t="inlineStr">
        <is>
          <t>Battery tier (5 interactive nodes)</t>
        </is>
      </c>
      <c r="B13" s="2" t="inlineStr">
        <is>
          <t>Mounting and fixings</t>
        </is>
      </c>
      <c r="C13" s="13" t="n">
        <v>5</v>
      </c>
      <c r="D13" s="14" t="n">
        <v>50</v>
      </c>
      <c r="E13" s="4">
        <f>C13*D13</f>
        <v/>
      </c>
      <c r="F13" s="2" t="inlineStr">
        <is>
          <t>Estimate</t>
        </is>
      </c>
      <c r="G13" s="2" t="inlineStr"/>
      <c r="H13" s="13" t="inlineStr">
        <is>
          <t>Yes</t>
        </is>
      </c>
    </row>
    <row r="14">
      <c r="A14" s="2" t="inlineStr">
        <is>
          <t>Battery tier (5 interactive nodes)</t>
        </is>
      </c>
      <c r="B14" s="2" t="inlineStr">
        <is>
          <t>Wall plate</t>
        </is>
      </c>
      <c r="C14" s="13" t="n">
        <v>5</v>
      </c>
      <c r="D14" s="14" t="n">
        <v>20</v>
      </c>
      <c r="E14" s="4">
        <f>C14*D14</f>
        <v/>
      </c>
      <c r="F14" s="2" t="inlineStr">
        <is>
          <t>Estimate</t>
        </is>
      </c>
      <c r="G14" s="2" t="inlineStr"/>
      <c r="H14" s="13" t="inlineStr">
        <is>
          <t>Yes</t>
        </is>
      </c>
    </row>
    <row r="15">
      <c r="A15" s="2" t="inlineStr">
        <is>
          <t>Street auction</t>
        </is>
      </c>
      <c r="B15" s="2" t="inlineStr">
        <is>
          <t>Three lit lockers: frame and perspex doors, fabricated</t>
        </is>
      </c>
      <c r="C15" s="13" t="n">
        <v>1</v>
      </c>
      <c r="D15" s="14" t="n">
        <v>900</v>
      </c>
      <c r="E15" s="4">
        <f>C15*D15</f>
        <v/>
      </c>
      <c r="F15" s="2" t="inlineStr">
        <is>
          <t>Estimate</t>
        </is>
      </c>
      <c r="G15" s="2" t="inlineStr">
        <is>
          <t>Biggest unknown in this node: get a local fabricator's quote</t>
        </is>
      </c>
      <c r="H15" s="13" t="inlineStr">
        <is>
          <t>Yes</t>
        </is>
      </c>
    </row>
    <row r="16">
      <c r="A16" s="2" t="inlineStr">
        <is>
          <t>Street auction</t>
        </is>
      </c>
      <c r="B16" s="2" t="inlineStr">
        <is>
          <t>Fail-secure solenoid locks</t>
        </is>
      </c>
      <c r="C16" s="13" t="n">
        <v>3</v>
      </c>
      <c r="D16" s="14" t="n">
        <v>25</v>
      </c>
      <c r="E16" s="4">
        <f>C16*D16</f>
        <v/>
      </c>
      <c r="F16" s="2" t="inlineStr">
        <is>
          <t>Estimate</t>
        </is>
      </c>
      <c r="G16" s="2" t="inlineStr"/>
      <c r="H16" s="13" t="inlineStr">
        <is>
          <t>Yes</t>
        </is>
      </c>
    </row>
    <row r="17">
      <c r="A17" s="2" t="inlineStr">
        <is>
          <t>Street auction</t>
        </is>
      </c>
      <c r="B17" s="2" t="inlineStr">
        <is>
          <t>Door switches</t>
        </is>
      </c>
      <c r="C17" s="13" t="n">
        <v>3</v>
      </c>
      <c r="D17" s="14" t="n">
        <v>5</v>
      </c>
      <c r="E17" s="4">
        <f>C17*D17</f>
        <v/>
      </c>
      <c r="F17" s="2" t="inlineStr">
        <is>
          <t>Estimate</t>
        </is>
      </c>
      <c r="G17" s="2" t="inlineStr"/>
      <c r="H17" s="13" t="inlineStr">
        <is>
          <t>Yes</t>
        </is>
      </c>
    </row>
    <row r="18">
      <c r="A18" s="2" t="inlineStr">
        <is>
          <t>Street auction</t>
        </is>
      </c>
      <c r="B18" s="2" t="inlineStr">
        <is>
          <t>LED strips and controller</t>
        </is>
      </c>
      <c r="C18" s="13" t="n">
        <v>1</v>
      </c>
      <c r="D18" s="14" t="n">
        <v>80</v>
      </c>
      <c r="E18" s="4">
        <f>C18*D18</f>
        <v/>
      </c>
      <c r="F18" s="2" t="inlineStr">
        <is>
          <t>Estimate</t>
        </is>
      </c>
      <c r="G18" s="2" t="inlineStr"/>
      <c r="H18" s="13" t="inlineStr">
        <is>
          <t>Yes</t>
        </is>
      </c>
    </row>
    <row r="19">
      <c r="A19" s="2" t="inlineStr">
        <is>
          <t>Street auction</t>
        </is>
      </c>
      <c r="B19" s="2" t="inlineStr">
        <is>
          <t>Off-board driver (MOSFETs, relays)</t>
        </is>
      </c>
      <c r="C19" s="13" t="n">
        <v>1</v>
      </c>
      <c r="D19" s="14" t="n">
        <v>30</v>
      </c>
      <c r="E19" s="4">
        <f>C19*D19</f>
        <v/>
      </c>
      <c r="F19" s="2" t="inlineStr">
        <is>
          <t>Estimate</t>
        </is>
      </c>
      <c r="G19" s="2" t="inlineStr"/>
      <c r="H19" s="13" t="inlineStr">
        <is>
          <t>Yes</t>
        </is>
      </c>
    </row>
    <row r="20">
      <c r="A20" s="2" t="inlineStr">
        <is>
          <t>Arm game</t>
        </is>
      </c>
      <c r="B20" s="2" t="inlineStr">
        <is>
          <t>Waveshare RoArm-M2-S</t>
        </is>
      </c>
      <c r="C20" s="13" t="n">
        <v>1</v>
      </c>
      <c r="D20" s="14" t="n">
        <v>230</v>
      </c>
      <c r="E20" s="4">
        <f>C20*D20</f>
        <v/>
      </c>
      <c r="F20" s="2" t="inlineStr">
        <is>
          <t>Listed price</t>
        </is>
      </c>
      <c r="G20" s="2" t="inlineStr">
        <is>
          <t>About $205–225 (Amazon, AliExpress); RobotShop EU and Grobotronics stock it</t>
        </is>
      </c>
      <c r="H20" s="13" t="inlineStr">
        <is>
          <t>Yes</t>
        </is>
      </c>
    </row>
    <row r="21">
      <c r="A21" s="2" t="inlineStr">
        <is>
          <t>Arm game</t>
        </is>
      </c>
      <c r="B21" s="2" t="inlineStr">
        <is>
          <t>12 V 5 A regulated DC-DC for the arm</t>
        </is>
      </c>
      <c r="C21" s="13" t="n">
        <v>1</v>
      </c>
      <c r="D21" s="14" t="n">
        <v>25</v>
      </c>
      <c r="E21" s="4">
        <f>C21*D21</f>
        <v/>
      </c>
      <c r="F21" s="2" t="inlineStr">
        <is>
          <t>Estimate</t>
        </is>
      </c>
      <c r="G21" s="2" t="inlineStr">
        <is>
          <t>Arm takes 7–13 V; battery reaches 14.6 V</t>
        </is>
      </c>
      <c r="H21" s="13" t="inlineStr">
        <is>
          <t>Yes</t>
        </is>
      </c>
    </row>
    <row r="22">
      <c r="A22" s="2" t="inlineStr">
        <is>
          <t>Arm game</t>
        </is>
      </c>
      <c r="B22" s="2" t="inlineStr">
        <is>
          <t>Perspex enclosure</t>
        </is>
      </c>
      <c r="C22" s="13" t="n">
        <v>1</v>
      </c>
      <c r="D22" s="14" t="n">
        <v>350</v>
      </c>
      <c r="E22" s="4">
        <f>C22*D22</f>
        <v/>
      </c>
      <c r="F22" s="2" t="inlineStr">
        <is>
          <t>Estimate</t>
        </is>
      </c>
      <c r="G22" s="2" t="inlineStr"/>
      <c r="H22" s="13" t="inlineStr">
        <is>
          <t>Yes</t>
        </is>
      </c>
    </row>
    <row r="23">
      <c r="A23" s="2" t="inlineStr">
        <is>
          <t>Arm game</t>
        </is>
      </c>
      <c r="B23" s="2" t="inlineStr">
        <is>
          <t>Peg board, ramp, hopper, pegs</t>
        </is>
      </c>
      <c r="C23" s="13" t="n">
        <v>1</v>
      </c>
      <c r="D23" s="14" t="n">
        <v>80</v>
      </c>
      <c r="E23" s="4">
        <f>C23*D23</f>
        <v/>
      </c>
      <c r="F23" s="2" t="inlineStr">
        <is>
          <t>Estimate</t>
        </is>
      </c>
      <c r="G23" s="2" t="inlineStr"/>
      <c r="H23" s="13" t="inlineStr">
        <is>
          <t>Yes</t>
        </is>
      </c>
    </row>
    <row r="24">
      <c r="A24" s="2" t="inlineStr">
        <is>
          <t>Arm game</t>
        </is>
      </c>
      <c r="B24" s="2" t="inlineStr">
        <is>
          <t>Hole sensors (IR break-beam)</t>
        </is>
      </c>
      <c r="C24" s="13" t="n">
        <v>5</v>
      </c>
      <c r="D24" s="15" t="n">
        <v>3</v>
      </c>
      <c r="E24" s="4">
        <f>C24*D24</f>
        <v/>
      </c>
      <c r="F24" s="2" t="inlineStr">
        <is>
          <t>Estimate</t>
        </is>
      </c>
      <c r="G24" s="2" t="inlineStr"/>
      <c r="H24" s="13" t="inlineStr">
        <is>
          <t>Yes</t>
        </is>
      </c>
    </row>
    <row r="25">
      <c r="A25" s="2" t="inlineStr">
        <is>
          <t>Arm game</t>
        </is>
      </c>
      <c r="B25" s="2" t="inlineStr">
        <is>
          <t>Arm power switch (MOSFET or relay)</t>
        </is>
      </c>
      <c r="C25" s="13" t="n">
        <v>1</v>
      </c>
      <c r="D25" s="14" t="n">
        <v>10</v>
      </c>
      <c r="E25" s="4">
        <f>C25*D25</f>
        <v/>
      </c>
      <c r="F25" s="2" t="inlineStr">
        <is>
          <t>Estimate</t>
        </is>
      </c>
      <c r="G25" s="2" t="inlineStr"/>
      <c r="H25" s="13" t="inlineStr">
        <is>
          <t>Yes</t>
        </is>
      </c>
    </row>
    <row r="26">
      <c r="A26" s="2" t="inlineStr">
        <is>
          <t>Gettoneria</t>
        </is>
      </c>
      <c r="B26" s="2" t="inlineStr">
        <is>
          <t>Coin hopper, Slomatic X3 EXP, 12 V, ccTalk</t>
        </is>
      </c>
      <c r="C26" s="13" t="n">
        <v>1</v>
      </c>
      <c r="D26" s="14" t="n">
        <v>220</v>
      </c>
      <c r="E26" s="4">
        <f>C26*D26</f>
        <v/>
      </c>
      <c r="F26" s="2" t="inlineStr">
        <is>
          <t>Estimate</t>
        </is>
      </c>
      <c r="G26" s="2" t="inlineStr">
        <is>
          <t>No public price; a comparable ccTalk hopper is listed at $155. Ask Slomatic for a quote</t>
        </is>
      </c>
      <c r="H26" s="13" t="inlineStr">
        <is>
          <t>Yes</t>
        </is>
      </c>
    </row>
    <row r="27">
      <c r="A27" s="2" t="inlineStr">
        <is>
          <t>Gettoneria</t>
        </is>
      </c>
      <c r="B27" s="2" t="inlineStr">
        <is>
          <t>Programmable coin acceptor</t>
        </is>
      </c>
      <c r="C27" s="13" t="n">
        <v>1</v>
      </c>
      <c r="D27" s="14" t="n">
        <v>35</v>
      </c>
      <c r="E27" s="4">
        <f>C27*D27</f>
        <v/>
      </c>
      <c r="F27" s="2" t="inlineStr">
        <is>
          <t>Listed price</t>
        </is>
      </c>
      <c r="G27" s="2" t="inlineStr">
        <is>
          <t>CH-926 class listed at €31.40 (ArcadeXpress); a better acceptor for plastic tokens could be €100–200</t>
        </is>
      </c>
      <c r="H27" s="13" t="inlineStr">
        <is>
          <t>Yes</t>
        </is>
      </c>
    </row>
    <row r="28">
      <c r="A28" s="2" t="inlineStr">
        <is>
          <t>Gettoneria</t>
        </is>
      </c>
      <c r="B28" s="2" t="inlineStr">
        <is>
          <t>NFC readers, PN532 class (exit, redeem, status pad)</t>
        </is>
      </c>
      <c r="C28" s="13" t="n">
        <v>3</v>
      </c>
      <c r="D28" s="14" t="n">
        <v>10</v>
      </c>
      <c r="E28" s="4">
        <f>C28*D28</f>
        <v/>
      </c>
      <c r="F28" s="2" t="inlineStr">
        <is>
          <t>Estimate</t>
        </is>
      </c>
      <c r="G28" s="2" t="inlineStr"/>
      <c r="H28" s="13" t="inlineStr">
        <is>
          <t>Yes</t>
        </is>
      </c>
    </row>
    <row r="29">
      <c r="A29" s="2" t="inlineStr">
        <is>
          <t>Gettoneria</t>
        </is>
      </c>
      <c r="B29" s="2" t="inlineStr">
        <is>
          <t>I2C multiplexer, ccTalk interface, status light</t>
        </is>
      </c>
      <c r="C29" s="13" t="n">
        <v>1</v>
      </c>
      <c r="D29" s="14" t="n">
        <v>20</v>
      </c>
      <c r="E29" s="4">
        <f>C29*D29</f>
        <v/>
      </c>
      <c r="F29" s="2" t="inlineStr">
        <is>
          <t>Estimate</t>
        </is>
      </c>
      <c r="G29" s="2" t="inlineStr"/>
      <c r="H29" s="13" t="inlineStr">
        <is>
          <t>Yes</t>
        </is>
      </c>
    </row>
    <row r="30">
      <c r="A30" s="2" t="inlineStr">
        <is>
          <t>Gettoneria</t>
        </is>
      </c>
      <c r="B30" s="2" t="inlineStr">
        <is>
          <t>Two-way flap solenoid and driver</t>
        </is>
      </c>
      <c r="C30" s="13" t="n">
        <v>1</v>
      </c>
      <c r="D30" s="14" t="n">
        <v>20</v>
      </c>
      <c r="E30" s="4">
        <f>C30*D30</f>
        <v/>
      </c>
      <c r="F30" s="2" t="inlineStr">
        <is>
          <t>Estimate</t>
        </is>
      </c>
      <c r="G30" s="2" t="inlineStr"/>
      <c r="H30" s="13" t="inlineStr">
        <is>
          <t>Yes</t>
        </is>
      </c>
    </row>
    <row r="31">
      <c r="A31" s="2" t="inlineStr">
        <is>
          <t>Gettoneria</t>
        </is>
      </c>
      <c r="B31" s="2" t="inlineStr">
        <is>
          <t>Steel housing with slot, cups, reject box, reserve tube</t>
        </is>
      </c>
      <c r="C31" s="13" t="n">
        <v>1</v>
      </c>
      <c r="D31" s="14" t="n">
        <v>450</v>
      </c>
      <c r="E31" s="4">
        <f>C31*D31</f>
        <v/>
      </c>
      <c r="F31" s="2" t="inlineStr">
        <is>
          <t>Estimate</t>
        </is>
      </c>
      <c r="G31" s="2" t="inlineStr">
        <is>
          <t>Local fabrication</t>
        </is>
      </c>
      <c r="H31" s="13" t="inlineStr">
        <is>
          <t>Yes</t>
        </is>
      </c>
    </row>
    <row r="32">
      <c r="A32" s="2" t="inlineStr">
        <is>
          <t>Gettoneria</t>
        </is>
      </c>
      <c r="B32" s="2" t="inlineStr">
        <is>
          <t>Tokens: printed coin, NTAG 424 DNA PET sticker with printed number, assembled</t>
        </is>
      </c>
      <c r="C32" s="13" t="n">
        <v>1000</v>
      </c>
      <c r="D32" s="15" t="n">
        <v>1.75</v>
      </c>
      <c r="E32" s="4">
        <f>C32*D32</f>
        <v/>
      </c>
      <c r="F32" s="2" t="inlineStr">
        <is>
          <t>Estimate</t>
        </is>
      </c>
      <c r="G32" s="2" t="inlineStr">
        <is>
          <t>€0.50–1.50 for the coin and a cheap tag, plus €0.50–1 for NTAG 424 DNA (SECURITY.md D2); 500 core + 500 buffer</t>
        </is>
      </c>
      <c r="H32" s="13" t="inlineStr">
        <is>
          <t>Yes</t>
        </is>
      </c>
    </row>
    <row r="33">
      <c r="A33" s="2" t="inlineStr">
        <is>
          <t>Gettoneria</t>
        </is>
      </c>
      <c r="B33" s="2" t="inlineStr">
        <is>
          <t>USB NFC writer for batches (bench)</t>
        </is>
      </c>
      <c r="C33" s="13" t="n">
        <v>1</v>
      </c>
      <c r="D33" s="14" t="n">
        <v>45</v>
      </c>
      <c r="E33" s="4">
        <f>C33*D33</f>
        <v/>
      </c>
      <c r="F33" s="2" t="inlineStr">
        <is>
          <t>Estimate</t>
        </is>
      </c>
      <c r="G33" s="2" t="inlineStr"/>
      <c r="H33" s="13" t="inlineStr">
        <is>
          <t>Yes</t>
        </is>
      </c>
    </row>
    <row r="34">
      <c r="A34" s="2" t="inlineStr">
        <is>
          <t>Flip-dot wall</t>
        </is>
      </c>
      <c r="B34" s="2" t="inlineStr">
        <is>
          <t>Alfa-Zeta XY5 14 x 28 panel, yellow on black, controller included</t>
        </is>
      </c>
      <c r="C34" s="13" t="n">
        <v>2</v>
      </c>
      <c r="D34" s="14" t="n">
        <v>440</v>
      </c>
      <c r="E34" s="4">
        <f>C34*D34</f>
        <v/>
      </c>
      <c r="F34" s="2" t="inlineStr">
        <is>
          <t>Quote</t>
        </is>
      </c>
      <c r="G34" s="2" t="inlineStr">
        <is>
          <t>Alfa-Zeta quote, 23 Oct 2026</t>
        </is>
      </c>
      <c r="H34" s="13" t="inlineStr">
        <is>
          <t>Yes</t>
        </is>
      </c>
    </row>
    <row r="35">
      <c r="A35" s="2" t="inlineStr">
        <is>
          <t>Flip-dot wall</t>
        </is>
      </c>
      <c r="B35" s="2" t="inlineStr">
        <is>
          <t>Alfa-Zeta shipping to Italy</t>
        </is>
      </c>
      <c r="C35" s="13" t="n">
        <v>1</v>
      </c>
      <c r="D35" s="14" t="n">
        <v>25</v>
      </c>
      <c r="E35" s="4">
        <f>C35*D35</f>
        <v/>
      </c>
      <c r="F35" s="2" t="inlineStr">
        <is>
          <t>Quote</t>
        </is>
      </c>
      <c r="G35" s="2" t="inlineStr">
        <is>
          <t>Alfa-Zeta quote, 23 Oct 2026</t>
        </is>
      </c>
      <c r="H35" s="13" t="inlineStr">
        <is>
          <t>Yes</t>
        </is>
      </c>
    </row>
    <row r="36">
      <c r="A36" s="2" t="inlineStr">
        <is>
          <t>Flip-dot wall</t>
        </is>
      </c>
      <c r="B36" s="2" t="inlineStr">
        <is>
          <t>12 V to 24 V converter, fixed output, about 2 A</t>
        </is>
      </c>
      <c r="C36" s="13" t="n">
        <v>1</v>
      </c>
      <c r="D36" s="14" t="n">
        <v>45</v>
      </c>
      <c r="E36" s="4">
        <f>C36*D36</f>
        <v/>
      </c>
      <c r="F36" s="2" t="inlineStr">
        <is>
          <t>Estimate</t>
        </is>
      </c>
      <c r="G36" s="2" t="inlineStr">
        <is>
          <t>Mean Well SD-50A-24 class</t>
        </is>
      </c>
      <c r="H36" s="13" t="inlineStr">
        <is>
          <t>Yes</t>
        </is>
      </c>
    </row>
    <row r="37">
      <c r="A37" s="2" t="inlineStr">
        <is>
          <t>Flip-dot wall</t>
        </is>
      </c>
      <c r="B37" s="2" t="inlineStr">
        <is>
          <t>RS-485 transceiver</t>
        </is>
      </c>
      <c r="C37" s="13" t="n">
        <v>1</v>
      </c>
      <c r="D37" s="14" t="n">
        <v>5</v>
      </c>
      <c r="E37" s="4">
        <f>C37*D37</f>
        <v/>
      </c>
      <c r="F37" s="2" t="inlineStr">
        <is>
          <t>Estimate</t>
        </is>
      </c>
      <c r="G37" s="2" t="inlineStr"/>
      <c r="H37" s="13" t="inlineStr">
        <is>
          <t>Yes</t>
        </is>
      </c>
    </row>
    <row r="38">
      <c r="A38" s="2" t="inlineStr">
        <is>
          <t>Flip-dot wall</t>
        </is>
      </c>
      <c r="B38" s="2" t="inlineStr">
        <is>
          <t>Programmable coin acceptor</t>
        </is>
      </c>
      <c r="C38" s="13" t="n">
        <v>1</v>
      </c>
      <c r="D38" s="14" t="n">
        <v>35</v>
      </c>
      <c r="E38" s="4">
        <f>C38*D38</f>
        <v/>
      </c>
      <c r="F38" s="2" t="inlineStr">
        <is>
          <t>Listed price</t>
        </is>
      </c>
      <c r="G38" s="2" t="inlineStr">
        <is>
          <t>As the gettoneria's</t>
        </is>
      </c>
      <c r="H38" s="13" t="inlineStr">
        <is>
          <t>Yes</t>
        </is>
      </c>
    </row>
    <row r="39">
      <c r="A39" s="2" t="inlineStr">
        <is>
          <t>Flip-dot wall</t>
        </is>
      </c>
      <c r="B39" s="2" t="inlineStr">
        <is>
          <t>NFC reader and I2C port expander</t>
        </is>
      </c>
      <c r="C39" s="13" t="n">
        <v>1</v>
      </c>
      <c r="D39" s="14" t="n">
        <v>15</v>
      </c>
      <c r="E39" s="4">
        <f>C39*D39</f>
        <v/>
      </c>
      <c r="F39" s="2" t="inlineStr">
        <is>
          <t>Estimate</t>
        </is>
      </c>
      <c r="G39" s="2" t="inlineStr"/>
      <c r="H39" s="13" t="inlineStr">
        <is>
          <t>Yes</t>
        </is>
      </c>
    </row>
    <row r="40">
      <c r="A40" s="2" t="inlineStr">
        <is>
          <t>Flip-dot wall</t>
        </is>
      </c>
      <c r="B40" s="2" t="inlineStr">
        <is>
          <t>Two-way flap solenoid and driver</t>
        </is>
      </c>
      <c r="C40" s="13" t="n">
        <v>1</v>
      </c>
      <c r="D40" s="14" t="n">
        <v>20</v>
      </c>
      <c r="E40" s="4">
        <f>C40*D40</f>
        <v/>
      </c>
      <c r="F40" s="2" t="inlineStr">
        <is>
          <t>Estimate</t>
        </is>
      </c>
      <c r="G40" s="2" t="inlineStr"/>
      <c r="H40" s="13" t="inlineStr">
        <is>
          <t>Yes</t>
        </is>
      </c>
    </row>
    <row r="41">
      <c r="A41" s="2" t="inlineStr">
        <is>
          <t>Flip-dot wall</t>
        </is>
      </c>
      <c r="B41" s="2" t="inlineStr">
        <is>
          <t>Vandal-resistant rotary encoders and knobs</t>
        </is>
      </c>
      <c r="C41" s="13" t="n">
        <v>2</v>
      </c>
      <c r="D41" s="14" t="n">
        <v>25</v>
      </c>
      <c r="E41" s="4">
        <f>C41*D41</f>
        <v/>
      </c>
      <c r="F41" s="2" t="inlineStr">
        <is>
          <t>Estimate</t>
        </is>
      </c>
      <c r="G41" s="2" t="inlineStr"/>
      <c r="H41" s="13" t="inlineStr">
        <is>
          <t>Yes</t>
        </is>
      </c>
    </row>
    <row r="42">
      <c r="A42" s="2" t="inlineStr">
        <is>
          <t>Flip-dot wall</t>
        </is>
      </c>
      <c r="B42" s="2" t="inlineStr">
        <is>
          <t>Vandal-resistant push button</t>
        </is>
      </c>
      <c r="C42" s="13" t="n">
        <v>1</v>
      </c>
      <c r="D42" s="14" t="n">
        <v>20</v>
      </c>
      <c r="E42" s="4">
        <f>C42*D42</f>
        <v/>
      </c>
      <c r="F42" s="2" t="inlineStr">
        <is>
          <t>Estimate</t>
        </is>
      </c>
      <c r="G42" s="2" t="inlineStr"/>
      <c r="H42" s="13" t="inlineStr">
        <is>
          <t>Yes</t>
        </is>
      </c>
    </row>
    <row r="43">
      <c r="A43" s="2" t="inlineStr">
        <is>
          <t>Flip-dot wall</t>
        </is>
      </c>
      <c r="B43" s="2" t="inlineStr">
        <is>
          <t>Steel housing with glass window, about 480 x 470 x 100 mm inside</t>
        </is>
      </c>
      <c r="C43" s="13" t="n">
        <v>1</v>
      </c>
      <c r="D43" s="14" t="n">
        <v>550</v>
      </c>
      <c r="E43" s="4">
        <f>C43*D43</f>
        <v/>
      </c>
      <c r="F43" s="2" t="inlineStr">
        <is>
          <t>Estimate</t>
        </is>
      </c>
      <c r="G43" s="2" t="inlineStr">
        <is>
          <t>Alfa-Zeta recommend steel and glass; local fabrication</t>
        </is>
      </c>
      <c r="H43" s="13" t="inlineStr">
        <is>
          <t>Yes</t>
        </is>
      </c>
    </row>
    <row r="44">
      <c r="A44" s="2" t="inlineStr">
        <is>
          <t>Flip-dot wall</t>
        </is>
      </c>
      <c r="B44" s="2" t="inlineStr">
        <is>
          <t>Token column (perspex tube) and kept-token box</t>
        </is>
      </c>
      <c r="C44" s="13" t="n">
        <v>1</v>
      </c>
      <c r="D44" s="14" t="n">
        <v>60</v>
      </c>
      <c r="E44" s="4">
        <f>C44*D44</f>
        <v/>
      </c>
      <c r="F44" s="2" t="inlineStr">
        <is>
          <t>Estimate</t>
        </is>
      </c>
      <c r="G44" s="2" t="inlineStr"/>
      <c r="H44" s="13" t="inlineStr">
        <is>
          <t>Yes</t>
        </is>
      </c>
    </row>
    <row r="45">
      <c r="A45" s="2" t="inlineStr">
        <is>
          <t>Flip-dot wall</t>
        </is>
      </c>
      <c r="B45" s="2" t="inlineStr">
        <is>
          <t>Spare dots</t>
        </is>
      </c>
      <c r="C45" s="13" t="n">
        <v>20</v>
      </c>
      <c r="D45" s="15" t="n">
        <v>0.5</v>
      </c>
      <c r="E45" s="4">
        <f>C45*D45</f>
        <v/>
      </c>
      <c r="F45" s="2" t="inlineStr">
        <is>
          <t>Quote</t>
        </is>
      </c>
      <c r="G45" s="2" t="inlineStr">
        <is>
          <t>Alfa-Zeta, €0.50 a dot, 25 Oct 2026</t>
        </is>
      </c>
      <c r="H45" s="13" t="inlineStr">
        <is>
          <t>Yes</t>
        </is>
      </c>
    </row>
    <row r="46">
      <c r="A46" s="2" t="inlineStr">
        <is>
          <t>The SUNSET set</t>
        </is>
      </c>
      <c r="B46" s="2" t="inlineStr">
        <is>
          <t>Outdoor Bluetooth speaker</t>
        </is>
      </c>
      <c r="C46" s="13" t="n">
        <v>1</v>
      </c>
      <c r="D46" s="14" t="n">
        <v>180</v>
      </c>
      <c r="E46" s="4">
        <f>C46*D46</f>
        <v/>
      </c>
      <c r="F46" s="2" t="inlineStr">
        <is>
          <t>Estimate</t>
        </is>
      </c>
      <c r="G46" s="2" t="inlineStr"/>
      <c r="H46" s="13" t="inlineStr">
        <is>
          <t>Yes</t>
        </is>
      </c>
    </row>
    <row r="47">
      <c r="A47" s="2" t="inlineStr">
        <is>
          <t>The SUNSET set</t>
        </is>
      </c>
      <c r="B47" s="2" t="inlineStr">
        <is>
          <t>Speaker locker: perspex door, lock, door switch</t>
        </is>
      </c>
      <c r="C47" s="13" t="n">
        <v>1</v>
      </c>
      <c r="D47" s="14" t="n">
        <v>250</v>
      </c>
      <c r="E47" s="4">
        <f>C47*D47</f>
        <v/>
      </c>
      <c r="F47" s="2" t="inlineStr">
        <is>
          <t>Estimate</t>
        </is>
      </c>
      <c r="G47" s="2" t="inlineStr"/>
      <c r="H47" s="13" t="inlineStr">
        <is>
          <t>Yes</t>
        </is>
      </c>
    </row>
    <row r="48">
      <c r="A48" s="2" t="inlineStr">
        <is>
          <t>The SUNSET set</t>
        </is>
      </c>
      <c r="B48" s="2" t="inlineStr">
        <is>
          <t>Speaker charger (12 V to USB/DC)</t>
        </is>
      </c>
      <c r="C48" s="13" t="n">
        <v>1</v>
      </c>
      <c r="D48" s="14" t="n">
        <v>20</v>
      </c>
      <c r="E48" s="4">
        <f>C48*D48</f>
        <v/>
      </c>
      <c r="F48" s="2" t="inlineStr">
        <is>
          <t>Estimate</t>
        </is>
      </c>
      <c r="G48" s="2" t="inlineStr"/>
      <c r="H48" s="13" t="inlineStr">
        <is>
          <t>Yes</t>
        </is>
      </c>
    </row>
    <row r="49">
      <c r="A49" s="2" t="inlineStr">
        <is>
          <t>Shared</t>
        </is>
      </c>
      <c r="B49" s="2" t="inlineStr">
        <is>
          <t>Spare carrier board, assembled and keyed</t>
        </is>
      </c>
      <c r="C49" s="13" t="n">
        <v>1</v>
      </c>
      <c r="D49" s="14" t="n">
        <v>70</v>
      </c>
      <c r="E49" s="4">
        <f>C49*D49</f>
        <v/>
      </c>
      <c r="F49" s="2" t="inlineStr">
        <is>
          <t>Estimate</t>
        </is>
      </c>
      <c r="G49" s="2" t="inlineStr"/>
      <c r="H49" s="13" t="inlineStr">
        <is>
          <t>Yes</t>
        </is>
      </c>
    </row>
    <row r="50">
      <c r="A50" s="2" t="inlineStr">
        <is>
          <t>Shared</t>
        </is>
      </c>
      <c r="B50" s="2" t="inlineStr">
        <is>
          <t>Spare 7 x 28 flip-dot module (bench piece now, spare later)</t>
        </is>
      </c>
      <c r="C50" s="13" t="n">
        <v>1</v>
      </c>
      <c r="D50" s="14" t="n">
        <v>220</v>
      </c>
      <c r="E50" s="4">
        <f>C50*D50</f>
        <v/>
      </c>
      <c r="F50" s="2" t="inlineStr">
        <is>
          <t>Quote</t>
        </is>
      </c>
      <c r="G50" s="2" t="inlineStr">
        <is>
          <t>Alfa-Zeta quote, 23 Oct 2026</t>
        </is>
      </c>
      <c r="H50" s="13" t="inlineStr">
        <is>
          <t>Yes</t>
        </is>
      </c>
    </row>
    <row r="51">
      <c r="A51" s="2" t="inlineStr">
        <is>
          <t>Shared</t>
        </is>
      </c>
      <c r="B51" s="2" t="inlineStr">
        <is>
          <t>Bench and development kit: ESP32s, readers, acceptor, sample tokens</t>
        </is>
      </c>
      <c r="C51" s="13" t="n">
        <v>1</v>
      </c>
      <c r="D51" s="14" t="n">
        <v>150</v>
      </c>
      <c r="E51" s="4">
        <f>C51*D51</f>
        <v/>
      </c>
      <c r="F51" s="2" t="inlineStr">
        <is>
          <t>Estimate</t>
        </is>
      </c>
      <c r="G51" s="2" t="inlineStr"/>
      <c r="H51" s="13" t="inlineStr">
        <is>
          <t>Yes</t>
        </is>
      </c>
    </row>
    <row r="52">
      <c r="A52" s="2" t="inlineStr">
        <is>
          <t>Shared</t>
        </is>
      </c>
      <c r="B52" s="2" t="inlineStr">
        <is>
          <t>Shipping and import, all other orders</t>
        </is>
      </c>
      <c r="C52" s="13" t="n">
        <v>1</v>
      </c>
      <c r="D52" s="14" t="n">
        <v>200</v>
      </c>
      <c r="E52" s="4">
        <f>C52*D52</f>
        <v/>
      </c>
      <c r="F52" s="2" t="inlineStr">
        <is>
          <t>Estimate</t>
        </is>
      </c>
      <c r="G52" s="2" t="inlineStr"/>
      <c r="H52" s="13" t="inlineStr">
        <is>
          <t>Yes</t>
        </is>
      </c>
    </row>
    <row r="53">
      <c r="A53" s="2" t="inlineStr">
        <is>
          <t>Shared</t>
        </is>
      </c>
      <c r="B53" s="2" t="inlineStr">
        <is>
          <t>Tools and consumables</t>
        </is>
      </c>
      <c r="C53" s="13" t="n">
        <v>1</v>
      </c>
      <c r="D53" s="14" t="n">
        <v>100</v>
      </c>
      <c r="E53" s="4">
        <f>C53*D53</f>
        <v/>
      </c>
      <c r="F53" s="2" t="inlineStr">
        <is>
          <t>Estimate</t>
        </is>
      </c>
      <c r="G53" s="2" t="inlineStr"/>
      <c r="H53" s="13" t="inlineStr">
        <is>
          <t>Yes</t>
        </is>
      </c>
    </row>
    <row r="54">
      <c r="A54" s="2" t="inlineStr">
        <is>
          <t>Garden node (option)</t>
        </is>
      </c>
      <c r="B54" s="2" t="inlineStr">
        <is>
          <t>Steel post and base frame</t>
        </is>
      </c>
      <c r="C54" s="13" t="n">
        <v>1</v>
      </c>
      <c r="D54" s="14" t="n">
        <v>450</v>
      </c>
      <c r="E54" s="4">
        <f>C54*D54</f>
        <v/>
      </c>
      <c r="F54" s="2" t="inlineStr">
        <is>
          <t>Estimate</t>
        </is>
      </c>
      <c r="G54" s="2" t="inlineStr">
        <is>
          <t>Replaces one wall's fixings; panel and board already counted in Walls</t>
        </is>
      </c>
      <c r="H54" s="13" t="inlineStr">
        <is>
          <t>No</t>
        </is>
      </c>
    </row>
    <row r="55">
      <c r="A55" s="2" t="inlineStr">
        <is>
          <t>Garden node (option)</t>
        </is>
      </c>
      <c r="B55" s="2" t="inlineStr">
        <is>
          <t>Structural engineer's sign-off</t>
        </is>
      </c>
      <c r="C55" s="13" t="n">
        <v>1</v>
      </c>
      <c r="D55" s="14" t="n">
        <v>400</v>
      </c>
      <c r="E55" s="4">
        <f>C55*D55</f>
        <v/>
      </c>
      <c r="F55" s="2" t="inlineStr">
        <is>
          <t>Estimate</t>
        </is>
      </c>
      <c r="G55" s="2" t="inlineStr"/>
      <c r="H55" s="13" t="inlineStr">
        <is>
          <t>No</t>
        </is>
      </c>
    </row>
    <row r="56">
      <c r="A56" s="2" t="inlineStr">
        <is>
          <t>Garden node (option)</t>
        </is>
      </c>
      <c r="B56" s="2" t="inlineStr">
        <is>
          <t>IBC tank, food-grade, opaque</t>
        </is>
      </c>
      <c r="C56" s="13" t="n">
        <v>1</v>
      </c>
      <c r="D56" s="14" t="n">
        <v>150</v>
      </c>
      <c r="E56" s="4">
        <f>C56*D56</f>
        <v/>
      </c>
      <c r="F56" s="2" t="inlineStr">
        <is>
          <t>Estimate</t>
        </is>
      </c>
      <c r="G56" s="2" t="inlineStr"/>
      <c r="H56" s="13" t="inlineStr">
        <is>
          <t>No</t>
        </is>
      </c>
    </row>
    <row r="57">
      <c r="A57" s="2" t="inlineStr">
        <is>
          <t>Garden node (option)</t>
        </is>
      </c>
      <c r="B57" s="2" t="inlineStr">
        <is>
          <t>Wood cladding</t>
        </is>
      </c>
      <c r="C57" s="13" t="n">
        <v>1</v>
      </c>
      <c r="D57" s="14" t="n">
        <v>150</v>
      </c>
      <c r="E57" s="4">
        <f>C57*D57</f>
        <v/>
      </c>
      <c r="F57" s="2" t="inlineStr">
        <is>
          <t>Estimate</t>
        </is>
      </c>
      <c r="G57" s="2" t="inlineStr"/>
      <c r="H57" s="13" t="inlineStr">
        <is>
          <t>No</t>
        </is>
      </c>
    </row>
    <row r="58">
      <c r="A58" s="2" t="inlineStr">
        <is>
          <t>Garden node (option)</t>
        </is>
      </c>
      <c r="B58" s="2" t="inlineStr">
        <is>
          <t>Pump, 12 V converter, soil probe, float switches, MOSFET</t>
        </is>
      </c>
      <c r="C58" s="13" t="n">
        <v>1</v>
      </c>
      <c r="D58" s="14" t="n">
        <v>75</v>
      </c>
      <c r="E58" s="4">
        <f>C58*D58</f>
        <v/>
      </c>
      <c r="F58" s="2" t="inlineStr">
        <is>
          <t>Estimate</t>
        </is>
      </c>
      <c r="G58" s="2" t="inlineStr"/>
      <c r="H58" s="13" t="inlineStr">
        <is>
          <t>No</t>
        </is>
      </c>
    </row>
    <row r="59">
      <c r="A59" s="2" t="inlineStr">
        <is>
          <t>Garden node (option)</t>
        </is>
      </c>
      <c r="B59" s="2" t="inlineStr">
        <is>
          <t>Drip kit and planting</t>
        </is>
      </c>
      <c r="C59" s="13" t="n">
        <v>1</v>
      </c>
      <c r="D59" s="14" t="n">
        <v>140</v>
      </c>
      <c r="E59" s="4">
        <f>C59*D59</f>
        <v/>
      </c>
      <c r="F59" s="2" t="inlineStr">
        <is>
          <t>Estimate</t>
        </is>
      </c>
      <c r="G59" s="2" t="inlineStr"/>
      <c r="H59" s="13" t="inlineStr">
        <is>
          <t>No</t>
        </is>
      </c>
    </row>
    <row r="60">
      <c r="A60" s="2" t="inlineStr">
        <is>
          <t>Running, first year</t>
        </is>
      </c>
      <c r="B60" s="2" t="inlineStr">
        <is>
          <t>Public liability insurance</t>
        </is>
      </c>
      <c r="C60" s="13" t="n">
        <v>1</v>
      </c>
      <c r="D60" s="14" t="n">
        <v>400</v>
      </c>
      <c r="E60" s="4">
        <f>C60*D60</f>
        <v/>
      </c>
      <c r="F60" s="2" t="inlineStr">
        <is>
          <t>Estimate</t>
        </is>
      </c>
      <c r="G60" s="2" t="inlineStr">
        <is>
          <t>Get a quote; may be shared with SUNDIAL's policy</t>
        </is>
      </c>
      <c r="H60" s="13" t="inlineStr">
        <is>
          <t>Yes</t>
        </is>
      </c>
    </row>
    <row r="61">
      <c r="A61" s="2" t="inlineStr">
        <is>
          <t>Running, first year</t>
        </is>
      </c>
      <c r="B61" s="2" t="inlineStr">
        <is>
          <t>Token top-up: souvenirs and losses</t>
        </is>
      </c>
      <c r="C61" s="13" t="n">
        <v>100</v>
      </c>
      <c r="D61" s="15" t="n">
        <v>1</v>
      </c>
      <c r="E61" s="4">
        <f>C61*D61</f>
        <v/>
      </c>
      <c r="F61" s="2" t="inlineStr">
        <is>
          <t>Estimate</t>
        </is>
      </c>
      <c r="G61" s="2" t="inlineStr"/>
      <c r="H61" s="13" t="inlineStr">
        <is>
          <t>Yes</t>
        </is>
      </c>
    </row>
    <row r="62">
      <c r="A62" s="2" t="inlineStr">
        <is>
          <t>Running, first year</t>
        </is>
      </c>
      <c r="B62" s="2" t="inlineStr">
        <is>
          <t>Flip-dot upkeep: spare dots, compressed air</t>
        </is>
      </c>
      <c r="C62" s="13" t="n">
        <v>1</v>
      </c>
      <c r="D62" s="14" t="n">
        <v>50</v>
      </c>
      <c r="E62" s="4">
        <f>C62*D62</f>
        <v/>
      </c>
      <c r="F62" s="2" t="inlineStr">
        <is>
          <t>Estimate</t>
        </is>
      </c>
      <c r="G62" s="2" t="inlineStr"/>
      <c r="H62" s="13" t="inlineStr">
        <is>
          <t>Yes</t>
        </is>
      </c>
    </row>
    <row r="63">
      <c r="A63" s="2" t="inlineStr">
        <is>
          <t>Running, first year</t>
        </is>
      </c>
      <c r="B63" s="2" t="inlineStr">
        <is>
          <t>Website hosting (GitHub Pages)</t>
        </is>
      </c>
      <c r="C63" s="13" t="n">
        <v>1</v>
      </c>
      <c r="D63" s="15" t="n">
        <v>0</v>
      </c>
      <c r="E63" s="4">
        <f>C63*D63</f>
        <v/>
      </c>
      <c r="F63" s="2" t="inlineStr">
        <is>
          <t>Listed price</t>
        </is>
      </c>
      <c r="G63" s="2" t="inlineStr">
        <is>
          <t>Free</t>
        </is>
      </c>
      <c r="H63" s="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2026-10-29T07:24:28Z</dcterms:created>
  <dcterms:modified xmlns:dcterms="http://purl.org/dc/terms/" xmlns:xsi="http://www.w3.org/2001/XMLSchema-instance" xsi:type="dcterms:W3CDTF">2026-10-29T07:24:28Z</dcterms:modified>
</cp:coreProperties>
</file>